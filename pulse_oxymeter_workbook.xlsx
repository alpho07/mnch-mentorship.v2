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mnch-master__.v2\"/>
    </mc:Choice>
  </mc:AlternateContent>
  <xr:revisionPtr revIDLastSave="0" documentId="8_{A7174C67-0E94-4E1A-B991-EE0C0143B50D}" xr6:coauthVersionLast="47" xr6:coauthVersionMax="47" xr10:uidLastSave="{00000000-0000-0000-0000-000000000000}"/>
  <bookViews>
    <workbookView xWindow="-108" yWindow="-108" windowWidth="23256" windowHeight="12456" tabRatio="500" firstSheet="8" activeTab="39" xr2:uid="{00000000-000D-0000-FFFF-FFFF00000000}"/>
  </bookViews>
  <sheets>
    <sheet name="Baringo Summary" sheetId="7" r:id="rId1"/>
    <sheet name="Bomet Summary" sheetId="8" r:id="rId2"/>
    <sheet name="Bungoma Summary" sheetId="9" r:id="rId3"/>
    <sheet name="Busia Summary" sheetId="10" r:id="rId4"/>
    <sheet name="Elgeyo Marakwet Summary" sheetId="11" r:id="rId5"/>
    <sheet name="Embu Summary" sheetId="12" r:id="rId6"/>
    <sheet name="Garissa Summary" sheetId="13" r:id="rId7"/>
    <sheet name="Homabay Summary" sheetId="14" r:id="rId8"/>
    <sheet name="Isiolo Summary" sheetId="15" r:id="rId9"/>
    <sheet name="Kajiado Summary" sheetId="16" r:id="rId10"/>
    <sheet name="Kakamega Summary" sheetId="17" r:id="rId11"/>
    <sheet name="Kericho Summary" sheetId="18" r:id="rId12"/>
    <sheet name="Kiambu Summary" sheetId="19" r:id="rId13"/>
    <sheet name="Kilifi Summary" sheetId="20" r:id="rId14"/>
    <sheet name="Kirinyaga Summary" sheetId="21" r:id="rId15"/>
    <sheet name="Kisii Summary" sheetId="22" r:id="rId16"/>
    <sheet name="Kisumu Summary" sheetId="23" r:id="rId17"/>
    <sheet name="Kitui Summary" sheetId="24" r:id="rId18"/>
    <sheet name="Kwale Summary" sheetId="25" r:id="rId19"/>
    <sheet name="Laikipia Summary" sheetId="26" r:id="rId20"/>
    <sheet name="Lamu Summary" sheetId="27" r:id="rId21"/>
    <sheet name="Machakos Summary" sheetId="28" r:id="rId22"/>
    <sheet name="Makueni Summary" sheetId="29" r:id="rId23"/>
    <sheet name="Mandera Summary" sheetId="30" r:id="rId24"/>
    <sheet name="Marsabit Summary" sheetId="31" r:id="rId25"/>
    <sheet name="Meru Summary" sheetId="32" r:id="rId26"/>
    <sheet name="Migori Summary" sheetId="33" r:id="rId27"/>
    <sheet name="Mombasa Summary" sheetId="34" r:id="rId28"/>
    <sheet name="Murang'a Summary" sheetId="35" r:id="rId29"/>
    <sheet name="Nairobi Summary" sheetId="36" r:id="rId30"/>
    <sheet name="Nakuru Summary" sheetId="37" r:id="rId31"/>
    <sheet name="Nandi Summary" sheetId="38" r:id="rId32"/>
    <sheet name="Narok Summary" sheetId="39" r:id="rId33"/>
    <sheet name="Nyamira Summary" sheetId="40" r:id="rId34"/>
    <sheet name="Nyandarua Summary" sheetId="41" r:id="rId35"/>
    <sheet name="Nyeri Summary" sheetId="42" r:id="rId36"/>
    <sheet name="Samburu Summary" sheetId="43" r:id="rId37"/>
    <sheet name="Siaya Summary" sheetId="44" r:id="rId38"/>
    <sheet name="Taita Taveta Summary" sheetId="45" r:id="rId39"/>
    <sheet name="Tana River Summary" sheetId="46" r:id="rId40"/>
    <sheet name="Tharaka-Nithi Summary" sheetId="47" r:id="rId41"/>
    <sheet name="Trans-Nzoia Summary" sheetId="48" r:id="rId42"/>
    <sheet name="Turkana Summary" sheetId="49" r:id="rId43"/>
    <sheet name="Uasin Gishu Summary" sheetId="50" r:id="rId44"/>
    <sheet name="Vihiga Summary" sheetId="51" r:id="rId45"/>
    <sheet name="Wajir Summary" sheetId="52" r:id="rId46"/>
    <sheet name="West Pokot Summary" sheetId="53" r:id="rId47"/>
    <sheet name="Sheet7" sheetId="54" state="hidden" r:id="rId48"/>
    <sheet name="Homa Bay Summary" sheetId="55" state="hidden" r:id="rId49"/>
    <sheet name="Sheet5" sheetId="56" r:id="rId50"/>
    <sheet name="FBO" sheetId="57" r:id="rId51"/>
    <sheet name="Sheet6" sheetId="58" r:id="rId52"/>
    <sheet name="Claude Log" sheetId="1" r:id="rId53"/>
    <sheet name="NBU Ward Maternity Tracker" sheetId="59" r:id="rId54"/>
    <sheet name="oxygen assessement data" sheetId="62" r:id="rId55"/>
    <sheet name="Vendor list" sheetId="4" r:id="rId56"/>
  </sheets>
  <definedNames>
    <definedName name="_xlnm._FilterDatabase" localSheetId="53" hidden="1">'NBU Ward Maternity Tracker'!$A$1:$F$279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2" l="1"/>
  <c r="D28" i="55" l="1"/>
  <c r="D16" i="53"/>
  <c r="C4" i="53"/>
  <c r="D22" i="52"/>
  <c r="I19" i="51"/>
  <c r="D6" i="51" a="1"/>
  <c r="D6" i="51" s="1"/>
  <c r="D7" i="51" s="1" a="1"/>
  <c r="D7" i="51" s="1"/>
  <c r="D3" i="51"/>
  <c r="D19" i="50"/>
  <c r="C4" i="50" s="1"/>
  <c r="D18" i="49"/>
  <c r="K19" i="48"/>
  <c r="J11" i="48" a="1"/>
  <c r="J18" i="48" s="1"/>
  <c r="D7" i="48" a="1"/>
  <c r="D7" i="48" s="1"/>
  <c r="D6" i="48" a="1"/>
  <c r="D6" i="48" s="1"/>
  <c r="D3" i="48"/>
  <c r="D8" i="48" s="1"/>
  <c r="D16" i="47"/>
  <c r="D14" i="46"/>
  <c r="D16" i="45"/>
  <c r="D21" i="44"/>
  <c r="D15" i="43"/>
  <c r="D17" i="42"/>
  <c r="D14" i="41"/>
  <c r="D19" i="40"/>
  <c r="D16" i="39"/>
  <c r="J23" i="38"/>
  <c r="I13" i="38" a="1"/>
  <c r="I13" i="38" s="1"/>
  <c r="C9" i="38" a="1"/>
  <c r="C9" i="38" s="1"/>
  <c r="C8" i="38" a="1"/>
  <c r="C8" i="38" s="1"/>
  <c r="D5" i="38"/>
  <c r="D29" i="37"/>
  <c r="D17" i="36"/>
  <c r="C4" i="36" s="1"/>
  <c r="K20" i="35"/>
  <c r="D6" i="35" a="1"/>
  <c r="D6" i="35" s="1"/>
  <c r="D3" i="35"/>
  <c r="D16" i="34"/>
  <c r="D22" i="33"/>
  <c r="D27" i="32"/>
  <c r="D15" i="31"/>
  <c r="D18" i="30"/>
  <c r="D27" i="29"/>
  <c r="D26" i="28"/>
  <c r="D15" i="27"/>
  <c r="D18" i="26"/>
  <c r="D17" i="25"/>
  <c r="D25" i="24"/>
  <c r="D28" i="23"/>
  <c r="D18" i="22"/>
  <c r="C8" i="22"/>
  <c r="C4" i="22"/>
  <c r="D15" i="21"/>
  <c r="D18" i="20"/>
  <c r="D24" i="19"/>
  <c r="D19" i="18"/>
  <c r="D7" i="17" a="1"/>
  <c r="D7" i="17" s="1"/>
  <c r="D6" i="17" a="1"/>
  <c r="D6" i="17" s="1"/>
  <c r="D8" i="17" s="1"/>
  <c r="D3" i="17"/>
  <c r="D16" i="16"/>
  <c r="D14" i="15"/>
  <c r="F26" i="14"/>
  <c r="E10" i="14"/>
  <c r="D10" i="14"/>
  <c r="E9" i="14"/>
  <c r="D9" i="14"/>
  <c r="E8" i="14"/>
  <c r="D8" i="14"/>
  <c r="E5" i="14"/>
  <c r="D18" i="13"/>
  <c r="D16" i="12"/>
  <c r="D7" i="11" a="1"/>
  <c r="D7" i="11"/>
  <c r="D6" i="11" a="1"/>
  <c r="D6" i="11" s="1"/>
  <c r="D3" i="11"/>
  <c r="D18" i="10"/>
  <c r="J21" i="9"/>
  <c r="D6" i="9" a="1"/>
  <c r="D6" i="9" s="1"/>
  <c r="D7" i="9" s="1" a="1"/>
  <c r="D7" i="9" s="1"/>
  <c r="D3" i="9"/>
  <c r="D18" i="8"/>
  <c r="D18" i="7"/>
  <c r="D7" i="35" l="1" a="1"/>
  <c r="D7" i="35" s="1"/>
  <c r="D8" i="35" s="1"/>
  <c r="C10" i="38"/>
  <c r="I14" i="38"/>
  <c r="I15" i="38"/>
  <c r="J11" i="48"/>
  <c r="I16" i="38"/>
  <c r="I17" i="38"/>
  <c r="J12" i="48"/>
  <c r="D8" i="11"/>
  <c r="I18" i="38"/>
  <c r="J13" i="48"/>
  <c r="I19" i="38"/>
  <c r="J14" i="48"/>
  <c r="I20" i="38"/>
  <c r="J15" i="48"/>
  <c r="I21" i="38"/>
  <c r="J16" i="48"/>
  <c r="I22" i="38"/>
  <c r="J17" i="48"/>
</calcChain>
</file>

<file path=xl/sharedStrings.xml><?xml version="1.0" encoding="utf-8"?>
<sst xmlns="http://schemas.openxmlformats.org/spreadsheetml/2006/main" count="7757" uniqueCount="2296">
  <si>
    <t>Turn #</t>
  </si>
  <si>
    <t>Date</t>
  </si>
  <si>
    <t>User Request</t>
  </si>
  <si>
    <t>Action Taken</t>
  </si>
  <si>
    <t>Details</t>
  </si>
  <si>
    <t>Outcome</t>
  </si>
  <si>
    <t>User asked to reorder all county summary sheets alphabetically</t>
  </si>
  <si>
    <t>Moved all 47 county Summary sheets into alphabetical order after the Code tab using individual position assignments</t>
  </si>
  <si>
    <t>Sheets moved one at a time (loops failed mid-way due to InvalidArgument errors; resolved by making individual calls per sheet). Discovered 'Homa Bay Summary' sheet is hidden (old duplicate); active sheet is 'Homabay Summary'. Final order: Claude Log, Overall summary, Dispatch summary, Code, then A-Z summaries (Baringo through West Pokot), then Sheet7(hidden), Sheet5, FBO, Sheet6.</t>
  </si>
  <si>
    <t>All 47 county summaries now in perfect A-Z order. Awaiting user input on whether to delete hidden 'Homa Bay Summary' duplicate sheet.</t>
  </si>
  <si>
    <t>Add 'Breakdown by Level of Care' section to Homabay Summary, matching Nandi Summary layout</t>
  </si>
  <si>
    <t>Inserted 6 rows above the data table; added breakdown section (rows 6-11) with level-of-care counts and styling</t>
  </si>
  <si>
    <t>Added: 'Breakdown by Level of Care' bold underlined label (B6), spacer row (B7), County Hospital=1 / Sub County Hospital=15 / Health Centre=1 with borders (B8:C10), italic grey notes in D9:D10, spacer row 11. Formulas: C8=SUMPRODUCT referral search, C9=SUMPRODUCT hospital search, C10=COUNTA(D13:D29)-C8-C9. Fixed B column width to 135pt to prevent label truncation.</t>
  </si>
  <si>
    <t>Breakdown section complete. All counts correct: 1 County Hospital, 15 Sub County, 1 Health Centre = 17 facilities / 70 total devices.</t>
  </si>
  <si>
    <t>Add FBO row to breakdown table; user confirmed D24 (Kendu Adventist Hospital) is FBO, all others are sub county except D13 (county hospital)</t>
  </si>
  <si>
    <t>Inserted FBO row in breakdown table; fixed all level-of-care formulas to use COUNTIF on facility names</t>
  </si>
  <si>
    <t>Added FBO row (B11:C11) with formula =COUNTIF counting hospitals that are not sub county and not referral. Fixed: C8=COUNTIF(*Referral*)=1, C9=COUNTIF(*sub county*)=13, C10=COUNTA-C8-C9-C11=1, C11=FBO=2. D24 Kendu Adventist and D25 Matata Hospital are both FBOs (neither is sub county). Health Centre=D17 Rachuonyo North (only facility with no hospital/referral in name).</t>
  </si>
  <si>
    <t>Breakdown complete: 1 County, 13 Sub County, 1 Health Centre, 2 FBO = 17 facilities / 70 devices.</t>
  </si>
  <si>
    <t>Rachuonyo North is a sub county hospital — remove Health Centre row and fix counts</t>
  </si>
  <si>
    <t>Updated D18 to 'Rachuonyo North Sub county hospital'; deleted Health Centre row from breakdown table</t>
  </si>
  <si>
    <t>Renamed D18 so COUNTIF(*sub county*) picks it up. Deleted row 10 (Health Centre). Final counts: County=1, Sub County=14, FBO=2.</t>
  </si>
  <si>
    <t>Breakdown: 1 County Hospital, 14 Sub County Hospitals, 2 FBOs = 17 facilities / 70 devices.</t>
  </si>
  <si>
    <t>Create Overall Summary sheet with total devices, devices by level of care table, and devices by county table</t>
  </si>
  <si>
    <t>Built Overall summary sheet with title, navy total box, two bordered tables styled to match county sheets</t>
  </si>
  <si>
    <t>Total devices = 1,098 (=SUM of all 40 county sheets). Level of care table (7 counties with full breakdowns): CH=48, SC=195, HC=5, FBO=10, Total=258. County table: all 40 counties alphabetical with device counts. Cell refs vary by sheet format: Vihiga/Bungoma/Elgeyo/Kakamega/Trans-Nzoia/Uasin Gishu=D3, Homabay=E5, Nandi=D5, all others=C4.</t>
  </si>
  <si>
    <t>Overall summary complete. 40 counties listed. Grand total 1,098 devices. All formulas link live to county sheets.</t>
  </si>
  <si>
    <t>Populate # of facilities per county in Overall summary B17:C56</t>
  </si>
  <si>
    <t>Read all 40 county summary sheets; wrote COUNTA(UNIQUE(...)) formulas to C17:C56; added SUM total to C57</t>
  </si>
  <si>
    <t>Each formula references the exact Facility name column (col D) of the device-level detail table in each county sheet, using precise row ranges identified by locating the header row programmatically. Homabay Summary uses col E (different layout). Turkana = 0 (hardcoded).</t>
  </si>
  <si>
    <t>330 total facilities across 40 counties. All 40 county rows populated in C17:C56; C57 = SUM total.</t>
  </si>
  <si>
    <t>Create county summaries for Embu and Makueni from Sheet5 data; add any FBOs; update Overall Summary</t>
  </si>
  <si>
    <t>Created Embu Summary and Makueni Summary sheets; checked FBO sheet (no Embu/Makueni FBOs); inserted rows in Overall Summary for both counties</t>
  </si>
  <si>
    <t>Embu: 5 facilities, 17 devices, tags MOH14E51-5/MOH14IS1-3/MOH14KJ1-3/MOH14MB1-3/MOH14RN1-3. Makueni: 16 facilities, 50 devices, tags MOH17EM/KA/KB/KW/KL/KS/MK/MD/MT/BO/MA/MY/MU/NT/SH/TW 1-3 (CRH 1-5). No FBOs for either county on FBO sheet.</t>
  </si>
  <si>
    <t>Both summary sheets created. Overall Summary updated: grand total now 402 facilities / 1,332 devices</t>
  </si>
  <si>
    <t>Review tag sequences for Embu and Makueni; format both summary sheets to match template</t>
  </si>
  <si>
    <t>Verified all tags; applied full Kirinyaga-style formatting to Embu Summary and Makueni Summary; auto-fitted columns on both sheets</t>
  </si>
  <si>
    <t>Embu tags: MOH14E51-5, MOH14IS1-3, MOH14KJ1-3, MOH14MB1-3, MOH14RN1-3 — all correct. Makueni tags: MOH17EM/KA/KB/KW/KL/KS/MK/MD/MT/BO/MA/MY/MU/NT/SH/TW — all correct. Format: blue headers (#4472C4), dark-blue title (#0E2841), 18pt Aptos Display title, borders on all table cells, italic grey facility list in breakdown row.</t>
  </si>
  <si>
    <t>Both sheets formatted and visually consistent with all other county summaries in the workbook</t>
  </si>
  <si>
    <t>Fix tag formats for Embu and Makueni using Code sheet as guide — format is MOH[county code] + zero-padded sequential number</t>
  </si>
  <si>
    <t>Replaced all facility-abbreviation tags with correct sequential tags on both sheets</t>
  </si>
  <si>
    <t>Embu (MOH14): MOH1401–MOH1417. Makueni (MOH17): MOH1701–MOH1750. Zero-padded 2-digit seq (01–09, then 10+). Verified against Kirinyaga (MOH2001–14) and Garissa (MOH701–23) patterns.</t>
  </si>
  <si>
    <t>All tags corrected. Overall summary still reads 5 fac/17 dev (Embu) and 16 fac/50 dev (Makueni).</t>
  </si>
  <si>
    <t>Create Nakuru Summary from Sheet6; keep existing tags; add FBOs if any; update Overall Summary</t>
  </si>
  <si>
    <t>Built Nakuru Summary sheet with 17 facilities / 55 devices; no Nakuru FBOs on FBO sheet; inserted Nakuru into Overall Summary between Narok and Nyamira</t>
  </si>
  <si>
    <t>Tags kept as-is (MOH32 facility-abbreviation style): AN1-4, BH1-4, BN1-2, EL1-3, GL1-3, IK1-2, KB1-2, KR1-2, LN1-2, MR1-2, ML1-4, NV1-6, NK1-7, NJ1-3, OL1-3, SN1-3, SB1-3. Nakuru Provincial General = county referral (7 devices), Ikumbi = Health Centre (2 devices), 15 sub-county hospitals.</t>
  </si>
  <si>
    <t>Nakuru Summary created and formatted. Overall Summary updated: grand total 419 facilities / 1,387 devices.</t>
  </si>
  <si>
    <t>Create Turkana Summary from Sheet7; use MOH23 sequential tags; check for FBOs; update Overall Summary</t>
  </si>
  <si>
    <t>Built Turkana Summary with 7 facilities / 23 devices; no Turkana FBOs on FBO sheet; updated Turkana row in Overall Summary with COUNTA formula</t>
  </si>
  <si>
    <t>Tags: MOH2301-MOH2323 sequential. Facilities: Ammusait(3), Kanamkemer(3), Katilu(3), Lokichar(3), Lodwar CRH(5), Lokitaung(3), Lopiding(3). Turkana row was pre-existing in Overall Summary (was 0/0), now updated to reference Turkana Summary.</t>
  </si>
  <si>
    <t>Turkana Summary created and formatted. Overall Summary: Turkana now 7 fac/23 dev. Grand total: 426 facilities / 1,410 devices.</t>
  </si>
  <si>
    <t>Update Overall Summary 'Devices by Level of Care' table (B8:D12)</t>
  </si>
  <si>
    <t>Recalculated all level-of-care totals by reading breakdown cells across all 48 county summary sheets; updated C8:D11 with correct values; SCH row uses formula =Grand Total - CRH - HC - FBO to stay dynamic</t>
  </si>
  <si>
    <t>County Hospital: 38 fac / 274 dev. Sub County: 362 fac / 1075 dev (formula-driven). Health Centre: 13 fac / 21 dev. FBO: 13 fac / 40 dev (includes Homabay Matata 7 dev). Total ties to 426/1410.</t>
  </si>
  <si>
    <t>Level of Care table now accurate and balanced. SCH row dynamically derives from grand total minus other levels.</t>
  </si>
  <si>
    <t>Remove duplicate Homa Bay row from Overall Summary; keep Homabay Summary (70 devices)</t>
  </si>
  <si>
    <t>Deleted 'Homa Bay' row from Overall Summary; hid 'Homa Bay Summary' sheet; fixed Nakuru alphabetical order (now between Nairobi and Nandi)</t>
  </si>
  <si>
    <t>Kept: Homabay Summary (17 fac, 70 dev — original format with 2 CRH, 14 SCH, 2 FBOs). Removed: Homa Bay Summary (53 dev — incomplete duplicate). All formula rows auto-updated.</t>
  </si>
  <si>
    <t>Overall Summary now clean: 46 counties, no duplicates, correct order. Grand total: 409 facilities / 1,357 devices.</t>
  </si>
  <si>
    <t>Create Dispatch Summary sheet showing devices dispatched by county</t>
  </si>
  <si>
    <t>Built Dispatch summary sheet with header totals (Allocated/Dispatched/Balance) and county table; identified dispatched counties from purple font (#A02B93) in Overall Summary plus column E dispatch notes</t>
  </si>
  <si>
    <t>Full dispatches (purple): Machakos(47), Nakuru(55), Nandi(29), Trans-Nzoia(26), Uasin Gishu(22), Vihiga(19), West Pokot(17). Partial: Kakamega(38 of 50), Nairobi(10 of 39). Total dispatched=263, Balance=1094.</t>
  </si>
  <si>
    <t>Dispatch summary sheet created. All totals formula-linked to Overall summary.</t>
  </si>
  <si>
    <t>Add county count breakdown table to the right of the Dispatch summary</t>
  </si>
  <si>
    <t>Added G4:H6 table with Counties Dispatched To (total), Full Dispatch, Partial Dispatch counts — all formula-driven from the county detail table</t>
  </si>
  <si>
    <t>H4=COUNTA(counties)=9, H5=COUNTIF(Status,Full)=7, H6=COUNTIF(Status,Partial*)=2. Colour-coded to match left table (navy/purple/teal).</t>
  </si>
  <si>
    <t>Table added and formatted. Screenshot verified layout correct.</t>
  </si>
  <si>
    <t>Remove non-yellow facilities from Kisii Summary, add Nyamarambe Sub County Hospital with 3 devices, update county and overall summary accordingly.</t>
  </si>
  <si>
    <t>Removed 17 non-yellow facilities from Kisii Summary; kept 6 yellow-highlighted facilities; added Nyamarambe Sub County Hospital (3 devices); updated dispatch list; updated Overall Summary formula for facility count.</t>
  </si>
  <si>
    <t>Kept: Gesusu (3), Iranda (3), Iyabe (3), Keumbu (3), Kisii County referral (5), Marani (3). Added: Nyamarambe (3). Total: 23 devices, 7 facilities. Tags MOH4501-MOH4523. Overall Summary C32 formula updated to D21:D43 range. D32 auto-updates via ='Kisii Summary'!C4.</t>
  </si>
  <si>
    <t>Kisii Summary now shows 7 facilities / 23 devices. Overall Summary Kisii row: 7 facilities, 23 devices. Grand total devices updated from 1357 to 1309.</t>
  </si>
  <si>
    <t>Reformat Kisii Summary 'Breakdown by Level of Care' section to match Kirinyaga Summary template.</t>
  </si>
  <si>
    <t>Removed yellow fills from facility name cells and C7. Reformatted B7:C8 label rows with correct borders/fonts. Fixed Total row (B18:D18) with Kirinyaga-style borders. Added blank separator row 19 with matching border style.</t>
  </si>
  <si>
    <t>C7 (county referral name): bold, white fill, Aptos Narrow 11pt. C8 (sub-county list): italic, grey, bordered box. Rows 11-17: plain white, no yellow. Row 18 Total: bold with top/bottom border. Row 19 separator matches Kirinyaga row 16 pattern.</t>
  </si>
  <si>
    <t>Kisii Summary now visually matches Kirinyaga Summary template layout and formatting conventions.</t>
  </si>
  <si>
    <t>Review both tables and fix Kisii Summary to exactly match Kirinyaga Summary template structure.</t>
  </si>
  <si>
    <t>Identified key structural difference: Kirinyaga has device counts in C7/C8 and facility/list names in E7/E8. Kisii had it reversed. Rebuilt rows 5-19 to match exactly: C7=5 (referral devices), C8=18 (sub-county devices, formula =D18-C7), E7=facility name, E8=sub-county list. Restored cleared facility data rows 11-17 and dispatch header row 20.</t>
  </si>
  <si>
    <t>C7: hardcoded 5 (referral devices). C8: =D18-C7 (18 sub-county devices). E7: facility name plain text. E8: italic grey sub-county list. Borders, fonts and separator rows all match Kirinyaga pattern.</t>
  </si>
  <si>
    <t>Kisii Summary breakdown section now matches Kirinyaga template. Total = 23, referral = 5, sub-county = 18.</t>
  </si>
  <si>
    <t>Remove 4 Level 4 facilities from Homabay Summary, add removal note on right side, update totals and Overall Summary.</t>
  </si>
  <si>
    <t>Removed Miriu, Nyandiwa, Kandiege, Kisegi Level 4 Sub county hospitals (3 devices each = 12 total). Deleted their summary table rows 26-29 and dispatch rows 92-103. Added red-bordered note block H12:H18. Updated E5, F26, D8:D10, E8:E10 formulas to E13:E25 range. Updated Overall Summary C24 formula.</t>
  </si>
  <si>
    <t>Total devices: 70→54. Facilities: 17→13. Overall Summary C24=13 facilities, D24=54 devices. Note block at H12:H18 with yellow fill and red border. Removed rows physically deleted (shift up). All SUM/COUNTIF/SUMIF formulas updated to E13:E25 / F13:F25.</t>
  </si>
  <si>
    <t>Homabay Summary: 13 facilities, 54 devices. Overall Summary auto-updated via formula links.</t>
  </si>
  <si>
    <t>Rebuild Uasin Gishu Summary with Kirinyaga formatting, add Mama Rachel Hospital (7 devices) and Kesses Health Centre (2 devices), update Overall Summary and Dispatch sheet.</t>
  </si>
  <si>
    <t>Cleared and rebuilt entire Uasin Gishu Summary sheet. Added Mama Rachel Hospital (7 devices, MOH2723-2729) and Kesses Health Centre (2 devices, MOH2730-2731). Restructured layout to match Kirinyaga template: header, total box, breakdown rows, facility table, dispatch list. Updated Overall Summary D59 formula to ='Uasin Gishu Summary'!C4, C59 to new dispatch range D24:D54. Updated Dispatch summary D16 from 22 to 31.</t>
  </si>
  <si>
    <t>Total devices: 22→31 (+9). Facilities: 7→9. Tags: existing MOH2701-2722 preserved, new MOH2723-2731. Breakdown: County Hospital 8, Sub County 14, Health Centre 2, Other (Mama Rachel) 7. Overall Summary grand total: 1302 devices. Dispatch C4: 1302, C5: 272, C6: 1030.</t>
  </si>
  <si>
    <t>Uasin Gishu: 9 facilities, 31 devices. Overall Summary and Dispatch summary both updated and consistent.</t>
  </si>
  <si>
    <t>Remove 7 yellow-highlighted facilities from Nairobi Summary, add removal note on left side, update county totals and Overall Summary.</t>
  </si>
  <si>
    <t>Removed: Kayole II (2), Lang'ata SCH (3), Makadara (3), Mathare North (3), Njiru (2), Riruta HC (2), Westlands (3) = 18 devices total. Rebuilt summary table (5 remaining facilities, 21 devices). Removed Health Centre row from breakdown (0 remaining). Rebuilt dispatch list. Added red-bordered note block E2:E11 at top-left. Updated C4=D17, Overall Summary C45 and D45. Updated dispatch formula ranges.</t>
  </si>
  <si>
    <t>Total devices: 39→21. Facilities: 12→5. Breakdown: County Hospital 10 (Pumwani+Mama Lucy), Sub County 8 (Mbagathi+Mutuini), FBO 3 (Jumuia). Health Centre row removed. Note at E2:E11. Tags retained: MOH4701-4703 (Jumuia), MOH4712-4716 (Mama Lucy), MOH4720-4727 (Mbagathi+Mutuini), MOH4730-4734 (Pumwani). Grand total: 1,284 devices.</t>
  </si>
  <si>
    <t>Nairobi Summary: 5 facilities, 21 devices. Overall Summary C45=5, D45=21. Grand total now 1,284 devices.</t>
  </si>
  <si>
    <t>Move removal note from column E to column H; fix table borders disrupted by previous note placement.</t>
  </si>
  <si>
    <t>Cleared E1:F12 which contained the misplaced note and its red borders (those had leaked into D2:D11 right borders and F2:F11 left borders). Restored all correct borders on B2:D18 table, B7:C9 level-of-care section, B19:D40 dispatch section. Placed note cleanly at H2:H11 with red border. Fixed missing DeviceSeq=1 for Jumuia row.</t>
  </si>
  <si>
    <t>Note at H2:H11: red header, white subtitle, yellow FFF2CC facility rows, red tally. All main table borders verified: thick blue on rows 2-3/4-5, thin black on all table cells, correct open-box on B9:C9 FBO row, correct separator rows 10 and 18.</t>
  </si>
  <si>
    <t>Nairobi Summary: note at H2:H11, all borders clean and matching template. DeviceSeq row 20 corrected to 1.</t>
  </si>
  <si>
    <t>Add 3 devices to Kisii County referral Hospital; update tags, county totals, and Overall Summary.</t>
  </si>
  <si>
    <t>Updated D15 (referral devices) 5→8. Updated C7 (referral count) 5→8. Inserted 3 new dispatch rows at 38-40 for Kisii County referral Hospital (DeviceSeq 6-8, tags MOH4524-MOH4526). Renumbered B column for all 26 dispatch rows. Updated Overall Summary C32 formula to D21:D46. C4, D18, C8 auto-updated via existing formulas.</t>
  </si>
  <si>
    <t>New tags: MOH4524 (seq 6), MOH4525 (seq 7), MOH4526 (seq 8). Referral total: 5→8. County total: 23→26. C8 sub-county auto: 18 unchanged. Overall Summary: Kisii 7 facilities, 26 devices. Grand total: 1,287 devices.</t>
  </si>
  <si>
    <t>Kisii Summary: 26 devices, 7 facilities. Overall Summary D32=26, grand total D4=1,287.</t>
  </si>
  <si>
    <t>Audit and fix Kisii tag sequence broken by previous turn's insertion of new referral rows.</t>
  </si>
  <si>
    <t>Previous turn incorrectly assigned MOH4524-4526 to the 3 new referral rows, leaving Marani (MOH4518-4520) and Nyamarambe (MOH4521-4523) out of order. Fixed by reassigning: new referral rows 38-40 = MOH4518-4520, Marani rows 41-43 = MOH4521-4523, Nyamarambe rows 44-46 = MOH4524-4526. Verified programmatically that sequence is strictly consecutive.</t>
  </si>
  <si>
    <t>Tags now: MOH4501-4526, fully sequential (isSequential=true). Rule noted: when inserting rows mid-dispatch-list, ALL subsequent tags must be renumbered to maintain consecutive order.</t>
  </si>
  <si>
    <t>Kisii tag sequence verified clean: MOH4501–MOH4526 consecutive across all 26 dispatch rows.</t>
  </si>
  <si>
    <t>Fix formatting of new dispatch rows 38-40 to match existing rows.</t>
  </si>
  <si>
    <t>Used copyFrom(sourceRow, formats) to copy formatting from row 21 (reference row) to rows 38-40. Fixed remaining B38:B40 missing left border. Verified uniform style block across all 26 dispatch rows.</t>
  </si>
  <si>
    <t>All rows B21:F46 now share identical style: Aptos 9pt, black on white, thin black borders all sides, centered alignment on DeviceSeq and Tag columns. No split style blocks remaining.</t>
  </si>
  <si>
    <t>Dispatch table rows 21-46 visually and structurally uniform. Screenshot verified.</t>
  </si>
  <si>
    <t>Remove 1 device from Kisii County referral Hospital; update tags, totals, and Overall Summary.</t>
  </si>
  <si>
    <t>Deleted dispatch row 40 (referral seq 8, MOH4520). Updated D15: 8→7, C7: 8→7. Renumbered B column (25 rows). Renumbered tags F40:F45 (MOH4521-4526 → MOH4520-4525) to maintain consecutive sequence. Updated Overall Summary C32 formula to D21:D45.</t>
  </si>
  <si>
    <t>Tags: MOH4501-MOH4525 (isSequential=true). Referral devices: 7. County total: 25. C8 (sub-county) auto-updated to 18. Grand total: 1,286. Formatting verified uniform across all 25 dispatch rows.</t>
  </si>
  <si>
    <t>Kisii Summary: 7 facilities, 25 devices. Overall Summary D32=25, grand total D4=1,286.</t>
  </si>
  <si>
    <t>Reduce 5 Homabay facilities to 3 devices each; update all tags, totals, and Overall Summary.</t>
  </si>
  <si>
    <t>Reduced: Rachuonyo South 6→3 (-3 rows), Rachuonyo East 4→3 (-1 row), Tom Mboya 4→3 (-1 row), Kendu Adventist 5→3 (-2 rows), Matata 5→3 (-2 rows). Deleted 9 dispatch rows bottom-up. Renumbered B column and all tags MOH4301-MOH4349. Updated Overall Summary D24 auto-updated via formula link.</t>
  </si>
  <si>
    <t>Total devices: 54→45 (-9). Tags MOH4301-MOH4349 (isSequential=true). Homabay County Referral (7) and Ndhiwa (5) unchanged. All SUMIF formulas verified correct. Grand total: 1,277.</t>
  </si>
  <si>
    <t>Homabay: 13 facilities, 45 devices. Overall Summary C24=13, D24=45. Grand total D4=1,277.</t>
  </si>
  <si>
    <t>Audit Homabay dispatch list — found and fixed mismatches between summary table counts and actual dispatch rows.</t>
  </si>
  <si>
    <t>Homabay County Referral had 10 dispatch rows vs 7 in summary → deleted rows 37-39 (seq 8,9,10). Ndhiwa had 6 dispatch rows vs 5 in summary → deleted row 42 (seq 6). Renumbered all tags MOH4301-MOH4345. Total dispatch rows: 45, matching F26=45.</t>
  </si>
  <si>
    <t>All 13 facilities now have dispatch rows exactly matching summary allocations. Tags MOH4301-MOH4345 sequential (verified). Grand total unchanged at 1,277.</t>
  </si>
  <si>
    <t>Homabay dispatch list clean: 45 rows, MOH4301-MOH4345, all facility counts match summary table.</t>
  </si>
  <si>
    <t>Audit Nairobi dispatch list — found and fixed non-consecutive tags left over from earlier facility removal.</t>
  </si>
  <si>
    <t>Dispatch row counts matched summary (21 rows, 5 facilities ✓). Tags were non-consecutive: MOH4701-4703, 4712-4716, 4720-4724, 4725-4727, 4730-4734 (gaps from removed facilities never renumbered). Renumbered all 21 tags to MOH4701-MOH4721.</t>
  </si>
  <si>
    <t>Tags MOH4701-MOH4721 sequential (isSequential=true). No row count changes needed. Totals and Overall Summary unaffected.</t>
  </si>
  <si>
    <t>Nairobi dispatch list clean: 21 rows, MOH4701-MOH4721 consecutive.</t>
  </si>
  <si>
    <t>Clear tags for Pumwani and Mama Lucy; reassign consecutive tags to Jumuia, Mbagathi, Mutuini.</t>
  </si>
  <si>
    <t>Cleared F23:F27 (Mama Lucy, 5 rows) and F36:F40 (Pumwani, 5 rows). Reassigned: Jumuia MOH4701-4703 (unchanged), Mbagathi MOH4704-4708, Mutuini MOH4709-4711. Tags for 3 tagged facilities are consecutive with no gaps.</t>
  </si>
  <si>
    <t>Tagged facilities: Jumuia (MOH4701-4703), Mbagathi (MOH4704-4708), Mutuini (MOH4709-4711). Untagged: Mama Lucy (5 blank), Pumwani (5 blank). No changes to device counts or totals.</t>
  </si>
  <si>
    <t>Nairobi tags updated. 11 tagged (MOH4701-4711 consecutive), 10 blank (Mama Lucy + Pumwani).</t>
  </si>
  <si>
    <t>User asked how many individual facilities were dispatched across all counties.</t>
  </si>
  <si>
    <t>Read all 9 dispatched county summary sheets and counted unique facilities per county.</t>
  </si>
  <si>
    <t>Kakamega: 16, Machakos: 14, Nakuru: 17, Nandi: 10, Trans-Nzoia: 8, Uasin Gishu: 9, Vihiga: 7, Nairobi: 5, West Pokot: 5.</t>
  </si>
  <si>
    <t>91 individual facilities dispatched across 9 counties (272 total devices).</t>
  </si>
  <si>
    <t>User asked to add Elgeyo Marakwet to the Dispatch summary.</t>
  </si>
  <si>
    <t>Inserted Elgeyo Marakwet as row #1 in the county dispatch table; updated all counters and SUM formulas.</t>
  </si>
  <si>
    <t>Elgeyo Marakwet: 24 devices, Full dispatch (Iten CRH + 6 SCH + 1 HC = 8 facilities). Inserted at row 10 (alphabetically first). Renumbered all rows 1-10. Extended H4/H5/H6 COUNTA/COUNTIF to C10:C19/E10:E19. Fixed D20 SUM to D10:D19.</t>
  </si>
  <si>
    <t>Dispatch summary now shows 10 counties, 8 full, 2 partial, 296 total dispatched, 981 balance.</t>
  </si>
  <si>
    <t>User asked to add number of health facilities to Dispatch summary table.</t>
  </si>
  <si>
    <t>Added 'Facilities' column F9:F20 to the dispatch table with per-county facility counts and SUM total.</t>
  </si>
  <si>
    <t>Facility counts: Elgeyo 8, Kakamega 16, Machakos 14, Nairobi 5, Nakuru 17, Nandi 10, Trans-Nzoia 8, Uasin Gishu 9, Vihiga 7, West Pokot 5. Total=SUM(F10:F19).</t>
  </si>
  <si>
    <t>Facilities column added. Total = 99 facilities across 10 dispatched counties.</t>
  </si>
  <si>
    <t>Remove red-font facilities from Migori Summary device registry, update tag sequence and numbers, update summary block totals</t>
  </si>
  <si>
    <t>Deleted 12 rows (Kuria, Muhuru, Ogwedhi, Oyani — 3 rows each); rewrote registry rows 29-63 with corrected #, DeviceSeq, Tags; updated summary block totals and facility table</t>
  </si>
  <si>
    <t>Removed 4 facilities × 3 devices = 12 devices. Registry renumbered 1-35, tags MOH4401-MOH4435. Summary: Total=35, SCH=30 (10 facilities), CRH=5. Facility table condensed to 11 rows with new Total=35 at row 22.</t>
  </si>
  <si>
    <t>Migori Summary fully updated and reconciled. All sections consistent at 35 total devices.</t>
  </si>
  <si>
    <t>Apply same red-facility removal process to Kisumu Summary sheet</t>
  </si>
  <si>
    <t>Removed 5 red-font facilities (Nyahera, Nyamarimba, Nyangande, Ober Kamoth, Sondu) — 15 rows. Rewrote registry rows 36-90 with corrected #/DeviceSeq/Tags. Updated summary block totals and facility table.</t>
  </si>
  <si>
    <t>Deleted 15 rows. Registry renumbered 1-55, tags MOH4201-MOH4255. Summary: Total=55, SCH=45 (15 facilities), CRH=10 (Jaramogi 5 + Kisumu CRH 5). Facility table condensed to 17 rows.</t>
  </si>
  <si>
    <t>Kisumu Summary fully updated and reconciled at 55 total devices.</t>
  </si>
  <si>
    <t>County Hospital</t>
  </si>
  <si>
    <t>Sub County Hospital</t>
  </si>
  <si>
    <t>Health Centre</t>
  </si>
  <si>
    <t>FBO</t>
  </si>
  <si>
    <t>Total</t>
  </si>
  <si>
    <t>County</t>
  </si>
  <si>
    <t>Dispatched</t>
  </si>
  <si>
    <t>Baringo</t>
  </si>
  <si>
    <t>Bomet</t>
  </si>
  <si>
    <t>Bungoma</t>
  </si>
  <si>
    <t>Busia</t>
  </si>
  <si>
    <t>Elgeyo Marakwet</t>
  </si>
  <si>
    <t>Embu</t>
  </si>
  <si>
    <t>Garissa</t>
  </si>
  <si>
    <t>Homabay</t>
  </si>
  <si>
    <t>Isiolo</t>
  </si>
  <si>
    <t>Kajiado</t>
  </si>
  <si>
    <t>Kiambu</t>
  </si>
  <si>
    <t>Kericho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</si>
  <si>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</si>
  <si>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</si>
  <si>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</si>
  <si>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</si>
  <si>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</si>
  <si>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</si>
  <si>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</si>
  <si>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</si>
  <si>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</si>
  <si>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</si>
  <si>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</si>
  <si>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</si>
  <si>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</si>
  <si>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</si>
  <si>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</si>
  <si>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</si>
  <si>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</si>
  <si>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</si>
  <si>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</si>
  <si>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</si>
  <si>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</si>
  <si>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</si>
  <si>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</si>
  <si>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</si>
  <si>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</si>
  <si>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</si>
  <si>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Trans-Nzoia</t>
  </si>
  <si>
    <t>Turkana</t>
  </si>
  <si>
    <t>Uasin Gishu</t>
  </si>
  <si>
    <t>Vihiga</t>
  </si>
  <si>
    <t>Wajir</t>
  </si>
  <si>
    <t>West Pokot</t>
  </si>
  <si>
    <t>#</t>
  </si>
  <si>
    <t>Kakamega</t>
  </si>
  <si>
    <t>Nairobi</t>
  </si>
  <si>
    <t>Murang'a</t>
  </si>
  <si>
    <t># Devices</t>
  </si>
  <si>
    <t>Embu Level 5 Hospital</t>
  </si>
  <si>
    <t>Garissa County Referral Hospital</t>
  </si>
  <si>
    <t>Kajiado County Referral Hospital</t>
  </si>
  <si>
    <t>Kericho County Referral Hospital</t>
  </si>
  <si>
    <t>Kiambu County Referral Hospital / Thika Level 5 Hospital</t>
  </si>
  <si>
    <t>Kilifi county referral hospital</t>
  </si>
  <si>
    <t>Kerugoya County Referral Hospital</t>
  </si>
  <si>
    <t>Makueni County Referral Hospital</t>
  </si>
  <si>
    <t>Meru County Referral Hospital</t>
  </si>
  <si>
    <t>Migori County Referral Hospital</t>
  </si>
  <si>
    <t>Narok County Referral Hospital</t>
  </si>
  <si>
    <t>Nyeri County Referral Hospital</t>
  </si>
  <si>
    <t>Grand Total</t>
  </si>
  <si>
    <t>Facility</t>
  </si>
  <si>
    <t>DeviceSeq</t>
  </si>
  <si>
    <t>Tag</t>
  </si>
  <si>
    <t>MOH1401</t>
  </si>
  <si>
    <t>MOH1402</t>
  </si>
  <si>
    <t>MOH1403</t>
  </si>
  <si>
    <t>MOH1404</t>
  </si>
  <si>
    <t>MOH1405</t>
  </si>
  <si>
    <t>MOH710</t>
  </si>
  <si>
    <t>MOH711</t>
  </si>
  <si>
    <t>MOH712</t>
  </si>
  <si>
    <t>MOH713</t>
  </si>
  <si>
    <t>MOH714</t>
  </si>
  <si>
    <t>MOH3401</t>
  </si>
  <si>
    <t>MOH3402</t>
  </si>
  <si>
    <t>MOH3403</t>
  </si>
  <si>
    <t>MOH3404</t>
  </si>
  <si>
    <t>MOH3405</t>
  </si>
  <si>
    <t>MOH3508</t>
  </si>
  <si>
    <t>MOH3509</t>
  </si>
  <si>
    <t>MOH3510</t>
  </si>
  <si>
    <t>MOH3511</t>
  </si>
  <si>
    <t>MOH3512</t>
  </si>
  <si>
    <t>Kiambu County Referral Hospital</t>
  </si>
  <si>
    <t>MOH2210</t>
  </si>
  <si>
    <t>MOH2211</t>
  </si>
  <si>
    <t>MOH2212</t>
  </si>
  <si>
    <t>MOH2213</t>
  </si>
  <si>
    <t>MOH2214</t>
  </si>
  <si>
    <t>Thika Level 5 Hospital</t>
  </si>
  <si>
    <t>MOH2230</t>
  </si>
  <si>
    <t>MOH2231</t>
  </si>
  <si>
    <t>MOH2232</t>
  </si>
  <si>
    <t>MOH2233</t>
  </si>
  <si>
    <t>MOH2234</t>
  </si>
  <si>
    <t>MOH307</t>
  </si>
  <si>
    <t>MOH308</t>
  </si>
  <si>
    <t>MOH309</t>
  </si>
  <si>
    <t>MOH310</t>
  </si>
  <si>
    <t>MOH311</t>
  </si>
  <si>
    <t>MOH2001</t>
  </si>
  <si>
    <t>MOH2002</t>
  </si>
  <si>
    <t>MOH2003</t>
  </si>
  <si>
    <t>MOH2004</t>
  </si>
  <si>
    <t>MOH2005</t>
  </si>
  <si>
    <t>MOH1719</t>
  </si>
  <si>
    <t>MOH1720</t>
  </si>
  <si>
    <t>MOH1721</t>
  </si>
  <si>
    <t>MOH1722</t>
  </si>
  <si>
    <t>MOH1723</t>
  </si>
  <si>
    <t>MOH1222</t>
  </si>
  <si>
    <t>MOH1223</t>
  </si>
  <si>
    <t>MOH1224</t>
  </si>
  <si>
    <t>MOH1225</t>
  </si>
  <si>
    <t>MOH1226</t>
  </si>
  <si>
    <t>MOH4416</t>
  </si>
  <si>
    <t>MOH4417</t>
  </si>
  <si>
    <t>MOH4418</t>
  </si>
  <si>
    <t>MOH4419</t>
  </si>
  <si>
    <t>MOH4420</t>
  </si>
  <si>
    <t>MOH3308</t>
  </si>
  <si>
    <t>MOH3309</t>
  </si>
  <si>
    <t>MOH3310</t>
  </si>
  <si>
    <t>MOH3311</t>
  </si>
  <si>
    <t>MOH3312</t>
  </si>
  <si>
    <t>MOH1912</t>
  </si>
  <si>
    <t>MOH1913</t>
  </si>
  <si>
    <t>MOH1914</t>
  </si>
  <si>
    <t>MOH1915</t>
  </si>
  <si>
    <t>MOH1916</t>
  </si>
  <si>
    <t>Homa Bay</t>
  </si>
  <si>
    <t>Baringo County</t>
  </si>
  <si>
    <t>Total Devices (Baringo County)</t>
  </si>
  <si>
    <t>Breakdown by Level of Care</t>
  </si>
  <si>
    <t>County Referral Hospital</t>
  </si>
  <si>
    <t>Devices</t>
  </si>
  <si>
    <t>Baringo County Referral Hospital</t>
  </si>
  <si>
    <t>Chemolingot Sub County Hospital</t>
  </si>
  <si>
    <t>Eldama Ravine Sub County Hospital</t>
  </si>
  <si>
    <t>Kabartonjo Sub County Hospital</t>
  </si>
  <si>
    <t>Marigat Sub County Hospital</t>
  </si>
  <si>
    <t>Mogotio Sub County Hospital</t>
  </si>
  <si>
    <t>Tangulbei sub county hospital</t>
  </si>
  <si>
    <t>MOH3001</t>
  </si>
  <si>
    <t>MOH3002</t>
  </si>
  <si>
    <t>MOH3003</t>
  </si>
  <si>
    <t>MOH3004</t>
  </si>
  <si>
    <t>MOH3005</t>
  </si>
  <si>
    <t>MOH3006</t>
  </si>
  <si>
    <t>MOH3007</t>
  </si>
  <si>
    <t>MOH3008</t>
  </si>
  <si>
    <t>MOH3009</t>
  </si>
  <si>
    <t>MOH3010</t>
  </si>
  <si>
    <t>MOH3011</t>
  </si>
  <si>
    <t>MOH3012</t>
  </si>
  <si>
    <t>MOH3013</t>
  </si>
  <si>
    <t>MOH3014</t>
  </si>
  <si>
    <t>MOH3015</t>
  </si>
  <si>
    <t>MOH3016</t>
  </si>
  <si>
    <t>MOH3017</t>
  </si>
  <si>
    <t>MOH3018</t>
  </si>
  <si>
    <t>MOH3019</t>
  </si>
  <si>
    <t>MOH3020</t>
  </si>
  <si>
    <t>MOH3021</t>
  </si>
  <si>
    <t>MOH3022</t>
  </si>
  <si>
    <t>MOH3023</t>
  </si>
  <si>
    <t>MOH3024</t>
  </si>
  <si>
    <t>Bomet County</t>
  </si>
  <si>
    <t>Total Devices (Bomet County)</t>
  </si>
  <si>
    <t>(Cheptalal, Kapkoros, Ndanai, Sigor, Kaplong Mission)</t>
  </si>
  <si>
    <t>Cheptalal Sub County Hospital</t>
  </si>
  <si>
    <t>Kapkoros Sub County Hospital</t>
  </si>
  <si>
    <t>Longisa County Referral Hospital</t>
  </si>
  <si>
    <t>Ndanai Sub County Hospital</t>
  </si>
  <si>
    <t>Sigor Sub County Hospital</t>
  </si>
  <si>
    <t>Kaplong Mission Hospital</t>
  </si>
  <si>
    <t>MOH3601</t>
  </si>
  <si>
    <t>MOH3602</t>
  </si>
  <si>
    <t>MOH3603</t>
  </si>
  <si>
    <t>MOH3604</t>
  </si>
  <si>
    <t>MOH3605</t>
  </si>
  <si>
    <t>MOH3606</t>
  </si>
  <si>
    <t>MOH3607</t>
  </si>
  <si>
    <t>MOH3608</t>
  </si>
  <si>
    <t>MOH3609</t>
  </si>
  <si>
    <t>MOH3610</t>
  </si>
  <si>
    <t>MOH3611</t>
  </si>
  <si>
    <t>MOH3612</t>
  </si>
  <si>
    <t>MOH3613</t>
  </si>
  <si>
    <t>MOH3614</t>
  </si>
  <si>
    <t>MOH3615</t>
  </si>
  <si>
    <t>MOH3616</t>
  </si>
  <si>
    <t>MOH3617</t>
  </si>
  <si>
    <t>MOH3618</t>
  </si>
  <si>
    <t>MOH3619</t>
  </si>
  <si>
    <t>MOH3620</t>
  </si>
  <si>
    <t>Total Devices (Bungoma County)</t>
  </si>
  <si>
    <t>Bokoli Sub County Hospital</t>
  </si>
  <si>
    <t>MOH3901</t>
  </si>
  <si>
    <t>MOH3902</t>
  </si>
  <si>
    <t>Bumula Sub ounty Hospital</t>
  </si>
  <si>
    <t>MOH3903</t>
  </si>
  <si>
    <t>Bungoma County Referral Hospital</t>
  </si>
  <si>
    <t>MOH3904</t>
  </si>
  <si>
    <t>Cheptais Sub Conty Hospital</t>
  </si>
  <si>
    <t>MOH3905</t>
  </si>
  <si>
    <t>Chwele Sub County Hospital</t>
  </si>
  <si>
    <t>MOH3906</t>
  </si>
  <si>
    <t>Kimilili Sub County Hospital</t>
  </si>
  <si>
    <t>MOH3907</t>
  </si>
  <si>
    <t>Mt Elgon Sub County Hospital</t>
  </si>
  <si>
    <t>MOH3908</t>
  </si>
  <si>
    <t>Naitiri Sub County Hospital</t>
  </si>
  <si>
    <t>MOH3909</t>
  </si>
  <si>
    <t>Sinoko Sub County Hospital</t>
  </si>
  <si>
    <t>MOH3910</t>
  </si>
  <si>
    <t>Sirisia Sub County Hospital</t>
  </si>
  <si>
    <t>MOH3911</t>
  </si>
  <si>
    <t>Webuye County Referral Hospital</t>
  </si>
  <si>
    <t>MOH3912</t>
  </si>
  <si>
    <t>MOH3913</t>
  </si>
  <si>
    <t>MOH3914</t>
  </si>
  <si>
    <t>MOH3915</t>
  </si>
  <si>
    <t>MOH3916</t>
  </si>
  <si>
    <t>MOH3917</t>
  </si>
  <si>
    <t>MOH3918</t>
  </si>
  <si>
    <t>MOH3919</t>
  </si>
  <si>
    <t>MOH3920</t>
  </si>
  <si>
    <t>MOH3921</t>
  </si>
  <si>
    <t>MOH3922</t>
  </si>
  <si>
    <t>MOH3923</t>
  </si>
  <si>
    <t>MOH3924</t>
  </si>
  <si>
    <t>MOH3925</t>
  </si>
  <si>
    <t>MOH3926</t>
  </si>
  <si>
    <t>MOH3927</t>
  </si>
  <si>
    <t>MOH3928</t>
  </si>
  <si>
    <t>Busia County</t>
  </si>
  <si>
    <t>Total Devices (Busia County)</t>
  </si>
  <si>
    <t>(Alupe, Khunyangu, Nambale, Port Victoria, Sio Port, Teso North)</t>
  </si>
  <si>
    <t>Alupe Sub County Hospital</t>
  </si>
  <si>
    <t>Busia County Referral Hospital</t>
  </si>
  <si>
    <t>Khunyangu Sub County Hospital</t>
  </si>
  <si>
    <t>Port Victoria Sub County Hospital</t>
  </si>
  <si>
    <t>Sio Port Sub County Hospital</t>
  </si>
  <si>
    <t>Teso North Sub County Hospital</t>
  </si>
  <si>
    <t>Nambale Sub County Hospital</t>
  </si>
  <si>
    <t>MOH4001</t>
  </si>
  <si>
    <t>MOH4002</t>
  </si>
  <si>
    <t>MOH4003</t>
  </si>
  <si>
    <t>MOH4004</t>
  </si>
  <si>
    <t>MOH4005</t>
  </si>
  <si>
    <t>MOH4006</t>
  </si>
  <si>
    <t>MOH4007</t>
  </si>
  <si>
    <t>MOH4008</t>
  </si>
  <si>
    <t>MOH4009</t>
  </si>
  <si>
    <t>MOH4010</t>
  </si>
  <si>
    <t>MOH4011</t>
  </si>
  <si>
    <t>MOH4012</t>
  </si>
  <si>
    <t>MOH4013</t>
  </si>
  <si>
    <t>MOH4014</t>
  </si>
  <si>
    <t>MOH4015</t>
  </si>
  <si>
    <t>MOH4016</t>
  </si>
  <si>
    <t>MOH4017</t>
  </si>
  <si>
    <t>MOH4018</t>
  </si>
  <si>
    <t>MOH4019</t>
  </si>
  <si>
    <t>MOH4020</t>
  </si>
  <si>
    <t>MOH4021</t>
  </si>
  <si>
    <t>MOH4022</t>
  </si>
  <si>
    <t>MOH4023</t>
  </si>
  <si>
    <t>MOH4024</t>
  </si>
  <si>
    <t>Total Devices (Elgeyo Marakwet County)</t>
  </si>
  <si>
    <t>Chebiemit Sub County Hospital</t>
  </si>
  <si>
    <t>MOH2801</t>
  </si>
  <si>
    <t>MOH2802</t>
  </si>
  <si>
    <t>Chepkorio Sub County Hospital</t>
  </si>
  <si>
    <t>MOH2803</t>
  </si>
  <si>
    <t>Iten County Referral Hospital</t>
  </si>
  <si>
    <t>MOH2804</t>
  </si>
  <si>
    <t>Kamwosor Sub County Hospital</t>
  </si>
  <si>
    <t>MOH2805</t>
  </si>
  <si>
    <t>Kaptarakwa Sub County Hospital</t>
  </si>
  <si>
    <t>MOH2806</t>
  </si>
  <si>
    <t>Kocholwo Sub County Hospital</t>
  </si>
  <si>
    <t>MOH2807</t>
  </si>
  <si>
    <t>Tambach Sub County Hospital</t>
  </si>
  <si>
    <t>MOH2808</t>
  </si>
  <si>
    <t>MOH2809</t>
  </si>
  <si>
    <t>MOH2810</t>
  </si>
  <si>
    <t>MOH2811</t>
  </si>
  <si>
    <t>MOH2812</t>
  </si>
  <si>
    <t>MOH2813</t>
  </si>
  <si>
    <t>MOH2814</t>
  </si>
  <si>
    <t>MOH2815</t>
  </si>
  <si>
    <t>MOH2816</t>
  </si>
  <si>
    <t>MOH2817</t>
  </si>
  <si>
    <t>Embu County</t>
  </si>
  <si>
    <t>Total Devices (Embu County)</t>
  </si>
  <si>
    <t>(Runyenjes, Kianjokoma, Mbeere, Ishiara)</t>
  </si>
  <si>
    <t>Ishiara Sub-County Hospital</t>
  </si>
  <si>
    <t>Kianjokoma Health Centre</t>
  </si>
  <si>
    <t>Mbeere Sub-County Hospital</t>
  </si>
  <si>
    <t>Runyenjes Sub County Hospital</t>
  </si>
  <si>
    <t>MOH1406</t>
  </si>
  <si>
    <t>MOH1407</t>
  </si>
  <si>
    <t>MOH1408</t>
  </si>
  <si>
    <t>MOH1409</t>
  </si>
  <si>
    <t>MOH1410</t>
  </si>
  <si>
    <t>MOH1411</t>
  </si>
  <si>
    <t>MOH1412</t>
  </si>
  <si>
    <t>MOH1413</t>
  </si>
  <si>
    <t>MOH1414</t>
  </si>
  <si>
    <t>MOH1415</t>
  </si>
  <si>
    <t>MOH1416</t>
  </si>
  <si>
    <t>MOH1417</t>
  </si>
  <si>
    <t>Garissa County</t>
  </si>
  <si>
    <t>Total Devices (Garissa County)</t>
  </si>
  <si>
    <t>(Balambala, Bura distict hospital Garissa, Dadaab, Iftin, Ijara, Modogashe)</t>
  </si>
  <si>
    <t>Balambala sub county hospital</t>
  </si>
  <si>
    <t>Bura distict hospital Garissa</t>
  </si>
  <si>
    <t>Dadaab Sub County Hospital</t>
  </si>
  <si>
    <t>Iftin Sub County Hospital</t>
  </si>
  <si>
    <t>Ijara Sub County Hospital</t>
  </si>
  <si>
    <t>Modogashe sub county hospital</t>
  </si>
  <si>
    <t>MOH701</t>
  </si>
  <si>
    <t>MOH702</t>
  </si>
  <si>
    <t>MOH703</t>
  </si>
  <si>
    <t>MOH704</t>
  </si>
  <si>
    <t>MOH705</t>
  </si>
  <si>
    <t>MOH706</t>
  </si>
  <si>
    <t>MOH707</t>
  </si>
  <si>
    <t>MOH708</t>
  </si>
  <si>
    <t>MOH709</t>
  </si>
  <si>
    <t>MOH715</t>
  </si>
  <si>
    <t>MOH716</t>
  </si>
  <si>
    <t>MOH717</t>
  </si>
  <si>
    <t>MOH718</t>
  </si>
  <si>
    <t>MOH719</t>
  </si>
  <si>
    <t>MOH720</t>
  </si>
  <si>
    <t>MOH721</t>
  </si>
  <si>
    <t>MOH722</t>
  </si>
  <si>
    <t>MOH723</t>
  </si>
  <si>
    <t>HOMABAY COUNTY</t>
  </si>
  <si>
    <t>Total Devices (Homabay County)</t>
  </si>
  <si>
    <t>#of HFs</t>
  </si>
  <si>
    <t># of Pox</t>
  </si>
  <si>
    <t>Removed Facilities</t>
  </si>
  <si>
    <t>Homabay County Referral Hospital</t>
  </si>
  <si>
    <t>(Removed from allocation — not yet operational)</t>
  </si>
  <si>
    <t>Ndhiwa Sub county hospital</t>
  </si>
  <si>
    <t>Miriu level 4 Sub county hospital</t>
  </si>
  <si>
    <t>Rachuonyo South Sub county hospital</t>
  </si>
  <si>
    <t>Nyandiwa level 4 Sub county hospital</t>
  </si>
  <si>
    <t>Rachuonyo East Sub county hospital</t>
  </si>
  <si>
    <t>Kandiege Level 4 Sub county hospital</t>
  </si>
  <si>
    <t>Rachuonyo North Sub county hospital</t>
  </si>
  <si>
    <t>Kisegi level 4 Sub county hospital</t>
  </si>
  <si>
    <t>Rangwe  Sub county hospital</t>
  </si>
  <si>
    <t>3 devices each · 12 devices removed in total</t>
  </si>
  <si>
    <t>Suba South sub county hospital</t>
  </si>
  <si>
    <t>Suba North Sub county hospital</t>
  </si>
  <si>
    <t>Suba West Sub county hospital</t>
  </si>
  <si>
    <t>Marindi Sub county hospital</t>
  </si>
  <si>
    <t>Tom Mboya Sub county hospital</t>
  </si>
  <si>
    <t>Kendu Adventist Hospital</t>
  </si>
  <si>
    <t>Matata Hospital</t>
  </si>
  <si>
    <t>MOH4301</t>
  </si>
  <si>
    <t>MOH4302</t>
  </si>
  <si>
    <t>MOH4303</t>
  </si>
  <si>
    <t>MOH4304</t>
  </si>
  <si>
    <t>MOH4305</t>
  </si>
  <si>
    <t>MOH4306</t>
  </si>
  <si>
    <t>MOH4307</t>
  </si>
  <si>
    <t>MOH4308</t>
  </si>
  <si>
    <t>MOH4309</t>
  </si>
  <si>
    <t>MOH4310</t>
  </si>
  <si>
    <t>MOH4311</t>
  </si>
  <si>
    <t>MOH4312</t>
  </si>
  <si>
    <t>MOH4313</t>
  </si>
  <si>
    <t>MOH4314</t>
  </si>
  <si>
    <t>MOH4315</t>
  </si>
  <si>
    <t>MOH4316</t>
  </si>
  <si>
    <t>MOH4317</t>
  </si>
  <si>
    <t>MOH4318</t>
  </si>
  <si>
    <t>MOH4319</t>
  </si>
  <si>
    <t>MOH4320</t>
  </si>
  <si>
    <t>MOH4321</t>
  </si>
  <si>
    <t>MOH4322</t>
  </si>
  <si>
    <t>MOH4323</t>
  </si>
  <si>
    <t>MOH4324</t>
  </si>
  <si>
    <t>MOH4325</t>
  </si>
  <si>
    <t>MOH4326</t>
  </si>
  <si>
    <t>MOH4327</t>
  </si>
  <si>
    <t>MOH4328</t>
  </si>
  <si>
    <t>MOH4329</t>
  </si>
  <si>
    <t>MOH4330</t>
  </si>
  <si>
    <t>MOH4331</t>
  </si>
  <si>
    <t>MOH4332</t>
  </si>
  <si>
    <t>MOH4333</t>
  </si>
  <si>
    <t>MOH4334</t>
  </si>
  <si>
    <t>MOH4335</t>
  </si>
  <si>
    <t>MOH4336</t>
  </si>
  <si>
    <t>MOH4337</t>
  </si>
  <si>
    <t>MOH4338</t>
  </si>
  <si>
    <t>MOH4339</t>
  </si>
  <si>
    <t>MOH4340</t>
  </si>
  <si>
    <t>MOH4341</t>
  </si>
  <si>
    <t>MOH4342</t>
  </si>
  <si>
    <t>MOH4343</t>
  </si>
  <si>
    <t>MOH4344</t>
  </si>
  <si>
    <t>MOH4345</t>
  </si>
  <si>
    <t>Isiolo County</t>
  </si>
  <si>
    <t>Total Devices (Isiolo County)</t>
  </si>
  <si>
    <t>(Garbatulla, Merti)</t>
  </si>
  <si>
    <t>Garbatulla Sub County Hospital</t>
  </si>
  <si>
    <t>Isiolo County Referral Hospital</t>
  </si>
  <si>
    <t>Merti Sub County Hospital</t>
  </si>
  <si>
    <t>MOH1101</t>
  </si>
  <si>
    <t>MOH1102</t>
  </si>
  <si>
    <t>MOH1103</t>
  </si>
  <si>
    <t>MOH1104</t>
  </si>
  <si>
    <t>MOH1105</t>
  </si>
  <si>
    <t>MOH1106</t>
  </si>
  <si>
    <t>MOH1107</t>
  </si>
  <si>
    <t>MOH1108</t>
  </si>
  <si>
    <t>MOH1109</t>
  </si>
  <si>
    <t>MOH1110</t>
  </si>
  <si>
    <t>MOH1111</t>
  </si>
  <si>
    <t>Kajiado County</t>
  </si>
  <si>
    <t>Total Devices (Kajiado County)</t>
  </si>
  <si>
    <t>(Kitengela, Loitokitok, Ngong, Ongata Rongai)</t>
  </si>
  <si>
    <t>Kitengela Sub County Hospital</t>
  </si>
  <si>
    <t>Loitokitok Sub County Hospital</t>
  </si>
  <si>
    <t>Ngong Sub County Hospital</t>
  </si>
  <si>
    <t>Ongata Rongai Sub County Hospital</t>
  </si>
  <si>
    <t>MOH3406</t>
  </si>
  <si>
    <t>MOH3407</t>
  </si>
  <si>
    <t>MOH3408</t>
  </si>
  <si>
    <t>MOH3409</t>
  </si>
  <si>
    <t>MOH3410</t>
  </si>
  <si>
    <t>MOH3411</t>
  </si>
  <si>
    <t>MOH3412</t>
  </si>
  <si>
    <t>MOH3413</t>
  </si>
  <si>
    <t>MOH3414</t>
  </si>
  <si>
    <t>MOH3415</t>
  </si>
  <si>
    <t>MOH3416</t>
  </si>
  <si>
    <t>MOH3417</t>
  </si>
  <si>
    <t>MOH3418</t>
  </si>
  <si>
    <t>MOH3419</t>
  </si>
  <si>
    <t>MOH3420</t>
  </si>
  <si>
    <t>MOH3421</t>
  </si>
  <si>
    <t>Total Devices (Kakamega County)</t>
  </si>
  <si>
    <t>Butere Sub County Hospital</t>
  </si>
  <si>
    <t>MOH3701</t>
  </si>
  <si>
    <t>MOH3702</t>
  </si>
  <si>
    <t>Iguhu SubCounty Hospital</t>
  </si>
  <si>
    <t>MOH3703</t>
  </si>
  <si>
    <t>Kakamega County Referral Hospital</t>
  </si>
  <si>
    <t>MOH3704</t>
  </si>
  <si>
    <t>Khwisero Sub County Hospital</t>
  </si>
  <si>
    <t>MOH3705</t>
  </si>
  <si>
    <t>Likuyani Sub County Hospital</t>
  </si>
  <si>
    <t>MOH3706</t>
  </si>
  <si>
    <t>Lumakanda Sub County Hospital</t>
  </si>
  <si>
    <t>MOH3707</t>
  </si>
  <si>
    <t>Makunga Sub County Hospital</t>
  </si>
  <si>
    <t>MOH3708</t>
  </si>
  <si>
    <t>Malava Sub County Hospital</t>
  </si>
  <si>
    <t>MOH3709</t>
  </si>
  <si>
    <t>Manyala Sub County Hospital</t>
  </si>
  <si>
    <t>MOH3710</t>
  </si>
  <si>
    <t>Matete Sub County Hospital</t>
  </si>
  <si>
    <t>MOH3711</t>
  </si>
  <si>
    <t>Matunda Sub County Hospital</t>
  </si>
  <si>
    <t>MOH3712</t>
  </si>
  <si>
    <t>Matungu Sub County Hospital</t>
  </si>
  <si>
    <t>MOH3713</t>
  </si>
  <si>
    <t>Mautuma Sub County Hospital</t>
  </si>
  <si>
    <t>MOH3714</t>
  </si>
  <si>
    <t>Mumias Sub County Hospital</t>
  </si>
  <si>
    <t>MOH3715</t>
  </si>
  <si>
    <t>Navakholo Sub County Hospital</t>
  </si>
  <si>
    <t>MOH3716</t>
  </si>
  <si>
    <t>Shibwe Sub County Hospital</t>
  </si>
  <si>
    <t>MOH3717</t>
  </si>
  <si>
    <t>MOH3718</t>
  </si>
  <si>
    <t>MOH3719</t>
  </si>
  <si>
    <t>MOH3720</t>
  </si>
  <si>
    <t>MOH3721</t>
  </si>
  <si>
    <t>MOH3722</t>
  </si>
  <si>
    <t>MOH3723</t>
  </si>
  <si>
    <t>MOH3724</t>
  </si>
  <si>
    <t>MOH3725</t>
  </si>
  <si>
    <t>MOH3726</t>
  </si>
  <si>
    <t>MOH3727</t>
  </si>
  <si>
    <t>MOH3728</t>
  </si>
  <si>
    <t>MOH3729</t>
  </si>
  <si>
    <t>MOH3730</t>
  </si>
  <si>
    <t>MOH3731</t>
  </si>
  <si>
    <t>MOH3732</t>
  </si>
  <si>
    <t>MOH3733</t>
  </si>
  <si>
    <t>MOH3734</t>
  </si>
  <si>
    <t>MOH3735</t>
  </si>
  <si>
    <t>MOH3736</t>
  </si>
  <si>
    <t>MOH3737</t>
  </si>
  <si>
    <t>MOH3738</t>
  </si>
  <si>
    <t>Kericho County</t>
  </si>
  <si>
    <t>Total Devices (Kericho County)</t>
  </si>
  <si>
    <t>(Fort Tenana, Kapkatet, Kipkelion, Londiani, Roret, Sigowet)</t>
  </si>
  <si>
    <t>Fort Tenana Sub County Hospital</t>
  </si>
  <si>
    <t>Kapkatet Sub County Hospital</t>
  </si>
  <si>
    <t>Kipkelion Sub County Hospital</t>
  </si>
  <si>
    <t>Londiani Sub County Hospital</t>
  </si>
  <si>
    <t>Roret Sub County Hospital</t>
  </si>
  <si>
    <t>Sigowet Sub County Hospital</t>
  </si>
  <si>
    <t>AIC Litein Hospital</t>
  </si>
  <si>
    <t>MOH3501</t>
  </si>
  <si>
    <t>MOH3502</t>
  </si>
  <si>
    <t>MOH3503</t>
  </si>
  <si>
    <t>MOH3504</t>
  </si>
  <si>
    <t>MOH3505</t>
  </si>
  <si>
    <t>MOH3506</t>
  </si>
  <si>
    <t>MOH3507</t>
  </si>
  <si>
    <t>MOH3513</t>
  </si>
  <si>
    <t>MOH3514</t>
  </si>
  <si>
    <t>MOH3515</t>
  </si>
  <si>
    <t>MOH3516</t>
  </si>
  <si>
    <t>MOH3517</t>
  </si>
  <si>
    <t>MOH3518</t>
  </si>
  <si>
    <t>MOH3519</t>
  </si>
  <si>
    <t>MOH3520</t>
  </si>
  <si>
    <t>MOH3521</t>
  </si>
  <si>
    <t>MOH3522</t>
  </si>
  <si>
    <t>MOH3523</t>
  </si>
  <si>
    <t>MOH3525</t>
  </si>
  <si>
    <t>MOH3526</t>
  </si>
  <si>
    <t>MOH3527</t>
  </si>
  <si>
    <t>Kiambu County</t>
  </si>
  <si>
    <t>Total Devices (Kiambu County)</t>
  </si>
  <si>
    <t>(Gatundu, Igegania, Karuri, Kihara, Lari, Lusigetti, Nyathuna, Ruiru, Tigoni, Wangige)</t>
  </si>
  <si>
    <t>(Kikuyu Mission Hospital)</t>
  </si>
  <si>
    <t>Gatundu Level 5 Hospital</t>
  </si>
  <si>
    <t>Igegania Sub-County Hospital</t>
  </si>
  <si>
    <t>Kikuyu Mission Hospital</t>
  </si>
  <si>
    <t>Kihara Sub County Hospital</t>
  </si>
  <si>
    <t>Lari Hospital</t>
  </si>
  <si>
    <t>Lusigetti Sub-county Hospital</t>
  </si>
  <si>
    <t>Nyathuna Level 4 Hospital</t>
  </si>
  <si>
    <t>Ruiru Sub-County Hospital</t>
  </si>
  <si>
    <t>Tigoni Sub County Hospital</t>
  </si>
  <si>
    <t>Wangige Sub County Hospital</t>
  </si>
  <si>
    <t>MOH2201</t>
  </si>
  <si>
    <t>MOH2202</t>
  </si>
  <si>
    <t>MOH2203</t>
  </si>
  <si>
    <t>MOH2204</t>
  </si>
  <si>
    <t>MOH2205</t>
  </si>
  <si>
    <t>MOH2206</t>
  </si>
  <si>
    <t>Karuri Level 4 Hospital</t>
  </si>
  <si>
    <t>MOH2207</t>
  </si>
  <si>
    <t>MOH2208</t>
  </si>
  <si>
    <t>MOH2209</t>
  </si>
  <si>
    <t>MOH2215</t>
  </si>
  <si>
    <t>MOH2216</t>
  </si>
  <si>
    <t>MOH2217</t>
  </si>
  <si>
    <t>MOH2218</t>
  </si>
  <si>
    <t>MOH2219</t>
  </si>
  <si>
    <t>MOH2220</t>
  </si>
  <si>
    <t>MOH2221</t>
  </si>
  <si>
    <t>MOH2222</t>
  </si>
  <si>
    <t>MOH2223</t>
  </si>
  <si>
    <t>MOH2224</t>
  </si>
  <si>
    <t>MOH2225</t>
  </si>
  <si>
    <t>MOH2226</t>
  </si>
  <si>
    <t>MOH2227</t>
  </si>
  <si>
    <t>MOH2228</t>
  </si>
  <si>
    <t>MOH2229</t>
  </si>
  <si>
    <t>MOH2235</t>
  </si>
  <si>
    <t>MOH2236</t>
  </si>
  <si>
    <t>MOH2237</t>
  </si>
  <si>
    <t>MOH2238</t>
  </si>
  <si>
    <t>MOH2239</t>
  </si>
  <si>
    <t>MOH2240</t>
  </si>
  <si>
    <t>MOH2241</t>
  </si>
  <si>
    <t>To be distributed directly by Oxygen team</t>
  </si>
  <si>
    <t>MOH2242</t>
  </si>
  <si>
    <t>MOH2243</t>
  </si>
  <si>
    <t>Kilifi County</t>
  </si>
  <si>
    <t>Total Devices (Kilifi County)</t>
  </si>
  <si>
    <t>(Bamba, Jibana, Malindi, Mariakani, Rabai)</t>
  </si>
  <si>
    <t>Bamba sub county hospital</t>
  </si>
  <si>
    <t>Jibana sub county hospital</t>
  </si>
  <si>
    <t>Malindi sub county hospital</t>
  </si>
  <si>
    <t>Mariakani sub county hospital</t>
  </si>
  <si>
    <t>Rabai sub county hospital</t>
  </si>
  <si>
    <t>Tawfiq Hospital</t>
  </si>
  <si>
    <t>MOH301</t>
  </si>
  <si>
    <t>MOH302</t>
  </si>
  <si>
    <t>MOH303</t>
  </si>
  <si>
    <t>MOH304</t>
  </si>
  <si>
    <t>MOH305</t>
  </si>
  <si>
    <t>MOH306</t>
  </si>
  <si>
    <t>MOH312</t>
  </si>
  <si>
    <t>MOH313</t>
  </si>
  <si>
    <t>MOH314</t>
  </si>
  <si>
    <t>MOH315</t>
  </si>
  <si>
    <t>MOH316</t>
  </si>
  <si>
    <t>MOH317</t>
  </si>
  <si>
    <t>MOH318</t>
  </si>
  <si>
    <t>MOH319</t>
  </si>
  <si>
    <t>MOH320</t>
  </si>
  <si>
    <t>MOH321</t>
  </si>
  <si>
    <t>MOH323</t>
  </si>
  <si>
    <t>MOH324</t>
  </si>
  <si>
    <t>MOH325</t>
  </si>
  <si>
    <t>Kirinyaga County</t>
  </si>
  <si>
    <t>Total Devices (Kirinyaga County)</t>
  </si>
  <si>
    <t>(Kianyaga, Kimbimbi, Sagana)</t>
  </si>
  <si>
    <t>Kianyaga Sub County Hospital</t>
  </si>
  <si>
    <t>Kimbimbi Sub county Hospital</t>
  </si>
  <si>
    <t>Sagana Sub County Hospital</t>
  </si>
  <si>
    <t>MOH2006</t>
  </si>
  <si>
    <t>MOH2007</t>
  </si>
  <si>
    <t>MOH2008</t>
  </si>
  <si>
    <t>MOH2009</t>
  </si>
  <si>
    <t>MOH2010</t>
  </si>
  <si>
    <t>MOH2011</t>
  </si>
  <si>
    <t>MOH2012</t>
  </si>
  <si>
    <t>MOH2013</t>
  </si>
  <si>
    <t>MOH2014</t>
  </si>
  <si>
    <t>Kisii County</t>
  </si>
  <si>
    <t>Total Devices (Kisii County)</t>
  </si>
  <si>
    <t>Kisii County referral Hospital</t>
  </si>
  <si>
    <t>Gesusu Sub County Hospital</t>
  </si>
  <si>
    <t>Iranda sub county hospital</t>
  </si>
  <si>
    <t>Iyabe Sub County Hospital</t>
  </si>
  <si>
    <t>Keumbu Sub County Hospital</t>
  </si>
  <si>
    <t>Marani Sub County Hospital</t>
  </si>
  <si>
    <t>Nyamarambe Sub County Hospital</t>
  </si>
  <si>
    <t>MOH4501</t>
  </si>
  <si>
    <t>MOH4502</t>
  </si>
  <si>
    <t>MOH4503</t>
  </si>
  <si>
    <t>MOH4504</t>
  </si>
  <si>
    <t>MOH4505</t>
  </si>
  <si>
    <t>MOH4506</t>
  </si>
  <si>
    <t>MOH4507</t>
  </si>
  <si>
    <t>MOH4508</t>
  </si>
  <si>
    <t>MOH4509</t>
  </si>
  <si>
    <t>MOH4510</t>
  </si>
  <si>
    <t>MOH4511</t>
  </si>
  <si>
    <t>MOH4512</t>
  </si>
  <si>
    <t>MOH4513</t>
  </si>
  <si>
    <t>MOH4514</t>
  </si>
  <si>
    <t>MOH4515</t>
  </si>
  <si>
    <t>MOH4516</t>
  </si>
  <si>
    <t>MOH4517</t>
  </si>
  <si>
    <t>MOH4518</t>
  </si>
  <si>
    <t>MOH4519</t>
  </si>
  <si>
    <t>MOH4520</t>
  </si>
  <si>
    <t>MOH4521</t>
  </si>
  <si>
    <t>MOH4522</t>
  </si>
  <si>
    <t>MOH4523</t>
  </si>
  <si>
    <t>MOH4524</t>
  </si>
  <si>
    <t>MOH4525</t>
  </si>
  <si>
    <t>Kisumu County</t>
  </si>
  <si>
    <t>Total Devices (Kisumu County)</t>
  </si>
  <si>
    <t>(Ahero, Chulaimbo, Gita, Katito, Kombewa, Lumumba, Manyuanda, Masogo, Migosi, Miranga, Muhoroni, Nyakach, Nyangoma, Ojola, Rabuor)</t>
  </si>
  <si>
    <t>Ahero Sub-County Hospital</t>
  </si>
  <si>
    <t>Chulaimbo Sub-County Hospital</t>
  </si>
  <si>
    <t>Gita Sub County Hospital</t>
  </si>
  <si>
    <t>Jaramogi Oginga Odinga Teaching and Referral</t>
  </si>
  <si>
    <t>Katito Sub County Hospital</t>
  </si>
  <si>
    <t>Kisumu County Referral Hospital</t>
  </si>
  <si>
    <t>Kombewa Sub-County Hospital</t>
  </si>
  <si>
    <t>Lumumba  Sub-County Hospital</t>
  </si>
  <si>
    <t>Manyuanda Sub-County Hospital</t>
  </si>
  <si>
    <t>Masogo Sub-County Hospital</t>
  </si>
  <si>
    <t>Migosi Sub-County Hospital</t>
  </si>
  <si>
    <t>Miranga Sub-County Hospital</t>
  </si>
  <si>
    <t>Muhoroni Sub-County Hospital</t>
  </si>
  <si>
    <t>Nyakach Sub-County Hospital</t>
  </si>
  <si>
    <t>Nyangoma Sub-County Hospital</t>
  </si>
  <si>
    <t>Ojola sub county hospital</t>
  </si>
  <si>
    <t>Rabuor Sub-County Hospital</t>
  </si>
  <si>
    <t>MOH4201</t>
  </si>
  <si>
    <t>MOH4202</t>
  </si>
  <si>
    <t>MOH4203</t>
  </si>
  <si>
    <t>MOH4204</t>
  </si>
  <si>
    <t>MOH4205</t>
  </si>
  <si>
    <t>MOH4206</t>
  </si>
  <si>
    <t>MOH4207</t>
  </si>
  <si>
    <t>MOH4208</t>
  </si>
  <si>
    <t>MOH4209</t>
  </si>
  <si>
    <t>MOH4210</t>
  </si>
  <si>
    <t>MOH4211</t>
  </si>
  <si>
    <t>MOH4212</t>
  </si>
  <si>
    <t>MOH4213</t>
  </si>
  <si>
    <t>MOH4214</t>
  </si>
  <si>
    <t>MOH4215</t>
  </si>
  <si>
    <t>MOH4216</t>
  </si>
  <si>
    <t>MOH4217</t>
  </si>
  <si>
    <t>MOH4218</t>
  </si>
  <si>
    <t>MOH4219</t>
  </si>
  <si>
    <t>MOH4220</t>
  </si>
  <si>
    <t>MOH4221</t>
  </si>
  <si>
    <t>MOH4222</t>
  </si>
  <si>
    <t>MOH4223</t>
  </si>
  <si>
    <t>MOH4224</t>
  </si>
  <si>
    <t>MOH4225</t>
  </si>
  <si>
    <t>MOH4226</t>
  </si>
  <si>
    <t>MOH4227</t>
  </si>
  <si>
    <t>MOH4228</t>
  </si>
  <si>
    <t>MOH4229</t>
  </si>
  <si>
    <t>MOH4230</t>
  </si>
  <si>
    <t>MOH4231</t>
  </si>
  <si>
    <t>MOH4232</t>
  </si>
  <si>
    <t>MOH4233</t>
  </si>
  <si>
    <t>MOH4234</t>
  </si>
  <si>
    <t>MOH4235</t>
  </si>
  <si>
    <t>MOH4236</t>
  </si>
  <si>
    <t>MOH4237</t>
  </si>
  <si>
    <t>MOH4238</t>
  </si>
  <si>
    <t>MOH4239</t>
  </si>
  <si>
    <t>MOH4240</t>
  </si>
  <si>
    <t>MOH4241</t>
  </si>
  <si>
    <t>MOH4242</t>
  </si>
  <si>
    <t>MOH4243</t>
  </si>
  <si>
    <t>MOH4244</t>
  </si>
  <si>
    <t>MOH4245</t>
  </si>
  <si>
    <t>MOH4246</t>
  </si>
  <si>
    <t>MOH4247</t>
  </si>
  <si>
    <t>MOH4248</t>
  </si>
  <si>
    <t>MOH4249</t>
  </si>
  <si>
    <t>MOH4250</t>
  </si>
  <si>
    <t>MOH4251</t>
  </si>
  <si>
    <t>MOH4252</t>
  </si>
  <si>
    <t>MOH4253</t>
  </si>
  <si>
    <t>MOH4254</t>
  </si>
  <si>
    <t>MOH4255</t>
  </si>
  <si>
    <t>Kitui County</t>
  </si>
  <si>
    <t>Total Devices (Kitui County)</t>
  </si>
  <si>
    <t>Ikanga Sub County Hospital</t>
  </si>
  <si>
    <t>Ikutha sub County Hospital</t>
  </si>
  <si>
    <t>Kanyangi Sub County Hospital</t>
  </si>
  <si>
    <t>Katulani Sub County Hospital</t>
  </si>
  <si>
    <t>Kauwi Sub County Hospital</t>
  </si>
  <si>
    <t>Kitui County Referral Hospital</t>
  </si>
  <si>
    <t>Kyuso sub County Hospital</t>
  </si>
  <si>
    <t>Migwani Sub County Hospital</t>
  </si>
  <si>
    <t>Mutitu Sub County Hospital</t>
  </si>
  <si>
    <t>Mutomo Sub County Hospital</t>
  </si>
  <si>
    <t>Mwingi Sub County Hospital</t>
  </si>
  <si>
    <t>Nuu Sub County Hospital</t>
  </si>
  <si>
    <t>Tseikuru Sub County Hospital</t>
  </si>
  <si>
    <t>Zombe Sub County Hospital</t>
  </si>
  <si>
    <t>MOH1501</t>
  </si>
  <si>
    <t>MOH1502</t>
  </si>
  <si>
    <t>MOH1503</t>
  </si>
  <si>
    <t>MOH1504</t>
  </si>
  <si>
    <t>MOH1505</t>
  </si>
  <si>
    <t>MOH1506</t>
  </si>
  <si>
    <t>MOH1507</t>
  </si>
  <si>
    <t>MOH1508</t>
  </si>
  <si>
    <t>MOH1509</t>
  </si>
  <si>
    <t>MOH1510</t>
  </si>
  <si>
    <t>MOH1511</t>
  </si>
  <si>
    <t>MOH1512</t>
  </si>
  <si>
    <t>MOH1513</t>
  </si>
  <si>
    <t>MOH1514</t>
  </si>
  <si>
    <t>MOH1515</t>
  </si>
  <si>
    <t>MOH1516</t>
  </si>
  <si>
    <t>MOH1517</t>
  </si>
  <si>
    <t>MOH1518</t>
  </si>
  <si>
    <t>MOH1519</t>
  </si>
  <si>
    <t>MOH1520</t>
  </si>
  <si>
    <t>MOH1521</t>
  </si>
  <si>
    <t>MOH1522</t>
  </si>
  <si>
    <t>MOH1523</t>
  </si>
  <si>
    <t>MOH1524</t>
  </si>
  <si>
    <t>MOH1525</t>
  </si>
  <si>
    <t>MOH1526</t>
  </si>
  <si>
    <t>MOH1527</t>
  </si>
  <si>
    <t>MOH1528</t>
  </si>
  <si>
    <t>MOH1529</t>
  </si>
  <si>
    <t>MOH1530</t>
  </si>
  <si>
    <t>MOH1531</t>
  </si>
  <si>
    <t>MOH1532</t>
  </si>
  <si>
    <t>MOH1533</t>
  </si>
  <si>
    <t>MOH1534</t>
  </si>
  <si>
    <t>MOH1535</t>
  </si>
  <si>
    <t>MOH1536</t>
  </si>
  <si>
    <t>MOH1537</t>
  </si>
  <si>
    <t>MOH1538</t>
  </si>
  <si>
    <t>MOH1539</t>
  </si>
  <si>
    <t>MOH1540</t>
  </si>
  <si>
    <t>MOH1541</t>
  </si>
  <si>
    <t>MOH1542</t>
  </si>
  <si>
    <t>MOH1543</t>
  </si>
  <si>
    <t>MOH1544</t>
  </si>
  <si>
    <t>Kwale County</t>
  </si>
  <si>
    <t>Total Devices (Kwale County)</t>
  </si>
  <si>
    <t>(Kinango, Kwale, Lunga Lunga, Samburu, Tiwi  Rural Training Center)</t>
  </si>
  <si>
    <t>Kinango Sub County Hospital</t>
  </si>
  <si>
    <t>Kwale Sub County Hospital</t>
  </si>
  <si>
    <t>Lunga Lunga Sub County Hospital</t>
  </si>
  <si>
    <t>Msambweni County Referral Hospital</t>
  </si>
  <si>
    <t>Samburu Sub County Hospital</t>
  </si>
  <si>
    <t>Tiwi  Rural Training Center</t>
  </si>
  <si>
    <t>MOH201</t>
  </si>
  <si>
    <t>MOH202</t>
  </si>
  <si>
    <t>MOH203</t>
  </si>
  <si>
    <t>MOH204</t>
  </si>
  <si>
    <t>MOH205</t>
  </si>
  <si>
    <t>MOH206</t>
  </si>
  <si>
    <t>MOH207</t>
  </si>
  <si>
    <t>MOH208</t>
  </si>
  <si>
    <t>MOH209</t>
  </si>
  <si>
    <t>MOH210</t>
  </si>
  <si>
    <t>MOH211</t>
  </si>
  <si>
    <t>MOH212</t>
  </si>
  <si>
    <t>MOH213</t>
  </si>
  <si>
    <t>MOH214</t>
  </si>
  <si>
    <t>MOH215</t>
  </si>
  <si>
    <t>MOH216</t>
  </si>
  <si>
    <t>MOH217</t>
  </si>
  <si>
    <t>MOH218</t>
  </si>
  <si>
    <t>MOH219</t>
  </si>
  <si>
    <t>Laikipia County</t>
  </si>
  <si>
    <t>Total Devices (Laikipia County)</t>
  </si>
  <si>
    <t>(Doldol, Kimanjo, Lamuria, Ndindika, Rumuruti)</t>
  </si>
  <si>
    <t>Doldol Sub county Hospital</t>
  </si>
  <si>
    <t>Kimanjo Sub county Hospital</t>
  </si>
  <si>
    <t>Lamuria Sub county  Hospital</t>
  </si>
  <si>
    <t>Nanyuki County Referral Hospital</t>
  </si>
  <si>
    <t>Ndindika Sub county Hospita</t>
  </si>
  <si>
    <t>Nyahururu County Referral Hospital</t>
  </si>
  <si>
    <t>Rumuruti Sub county Hospital</t>
  </si>
  <si>
    <t>MOH3101</t>
  </si>
  <si>
    <t>MOH3102</t>
  </si>
  <si>
    <t>MOH3103</t>
  </si>
  <si>
    <t>MOH3104</t>
  </si>
  <si>
    <t>MOH3105</t>
  </si>
  <si>
    <t>MOH3106</t>
  </si>
  <si>
    <t>MOH3107</t>
  </si>
  <si>
    <t>MOH3108</t>
  </si>
  <si>
    <t>MOH3109</t>
  </si>
  <si>
    <t>MOH3110</t>
  </si>
  <si>
    <t>MOH3111</t>
  </si>
  <si>
    <t>MOH3112</t>
  </si>
  <si>
    <t>MOH3113</t>
  </si>
  <si>
    <t>MOH3114</t>
  </si>
  <si>
    <t>MOH3115</t>
  </si>
  <si>
    <t>MOH3116</t>
  </si>
  <si>
    <t>MOH3117</t>
  </si>
  <si>
    <t>MOH3118</t>
  </si>
  <si>
    <t>MOH3119</t>
  </si>
  <si>
    <t>MOH3120</t>
  </si>
  <si>
    <t>MOH3121</t>
  </si>
  <si>
    <t>MOH3122</t>
  </si>
  <si>
    <t>MOH3123</t>
  </si>
  <si>
    <t>Lamu County</t>
  </si>
  <si>
    <t>Total Devices (Lamu County)</t>
  </si>
  <si>
    <t>(Faza, Mpeketoni, Witu )</t>
  </si>
  <si>
    <t>Faza Sub County Hospital</t>
  </si>
  <si>
    <t>Lamu County Referral Hospital</t>
  </si>
  <si>
    <t>Mpeketoni Sub County Hospital</t>
  </si>
  <si>
    <t>Witu  sub county hospital</t>
  </si>
  <si>
    <t>MOH501</t>
  </si>
  <si>
    <t>MOH502</t>
  </si>
  <si>
    <t>MOH503</t>
  </si>
  <si>
    <t>MOH504</t>
  </si>
  <si>
    <t>MOH505</t>
  </si>
  <si>
    <t>MOH506</t>
  </si>
  <si>
    <t>MOH507</t>
  </si>
  <si>
    <t>MOH508</t>
  </si>
  <si>
    <t>MOH509</t>
  </si>
  <si>
    <t>MOH510</t>
  </si>
  <si>
    <t>MOH511</t>
  </si>
  <si>
    <t>MOH512</t>
  </si>
  <si>
    <t>MOH513</t>
  </si>
  <si>
    <t>MOH514</t>
  </si>
  <si>
    <t>MOH515</t>
  </si>
  <si>
    <t>Machakos County</t>
  </si>
  <si>
    <t>Total Devices (Machakos County)</t>
  </si>
  <si>
    <t>(Kalama, Kangundo, Kathiani, Kimiti, Masinga, Matuu, Mavoko, Mutituni, Mwala, Ndiikini)</t>
  </si>
  <si>
    <t>(Kyumbi, Mbiuni, Mitamboni)</t>
  </si>
  <si>
    <t>Kalama Sub County Hospital</t>
  </si>
  <si>
    <t>Kangundo sub county hospital</t>
  </si>
  <si>
    <t>Kathiani sub county hospital</t>
  </si>
  <si>
    <t>Kimiti Sub County Hospital</t>
  </si>
  <si>
    <t>Kyumbi Health Centre</t>
  </si>
  <si>
    <t>Machakos County Referral Hospital</t>
  </si>
  <si>
    <t>Masinga sub county hospital</t>
  </si>
  <si>
    <t>Matuu sub county hospital</t>
  </si>
  <si>
    <t>Mavoko Sub County Hospital</t>
  </si>
  <si>
    <t>Mbiuni Health Centre</t>
  </si>
  <si>
    <t>Mitamboni Health Centre</t>
  </si>
  <si>
    <t>Mutituni Sub County Hospital</t>
  </si>
  <si>
    <t>Mwala sub county hospital</t>
  </si>
  <si>
    <t>Ndiikini Sub county hospital</t>
  </si>
  <si>
    <t>MOH16KL1</t>
  </si>
  <si>
    <t>MOH16KL2</t>
  </si>
  <si>
    <t>MOH16KN1</t>
  </si>
  <si>
    <t>MOH16KN2</t>
  </si>
  <si>
    <t>MOH16KN3</t>
  </si>
  <si>
    <t>MOH16KN4</t>
  </si>
  <si>
    <t>MOH16KN5</t>
  </si>
  <si>
    <t>MOH16KT1</t>
  </si>
  <si>
    <t>MOH16KT2</t>
  </si>
  <si>
    <t>MOH16KT3</t>
  </si>
  <si>
    <t>MOH16KT4</t>
  </si>
  <si>
    <t>MOH16KM1</t>
  </si>
  <si>
    <t>MOH16KM2</t>
  </si>
  <si>
    <t>MOH16KM3</t>
  </si>
  <si>
    <t>MOH16KY1</t>
  </si>
  <si>
    <t>MOH16KY2</t>
  </si>
  <si>
    <t>MOH16MC1</t>
  </si>
  <si>
    <t>MOH16MC2</t>
  </si>
  <si>
    <t>MOH16MC3</t>
  </si>
  <si>
    <t>MOH16MC4</t>
  </si>
  <si>
    <t>MOH16MC5</t>
  </si>
  <si>
    <t>MOH16MC6</t>
  </si>
  <si>
    <t>MOH16MS1</t>
  </si>
  <si>
    <t>MOH16MS2</t>
  </si>
  <si>
    <t>MOH16MS3</t>
  </si>
  <si>
    <t>MOH16MT1</t>
  </si>
  <si>
    <t>MOH16MT2</t>
  </si>
  <si>
    <t>MOH16MT3</t>
  </si>
  <si>
    <t>MOH16MT4</t>
  </si>
  <si>
    <t>MOH16MV1</t>
  </si>
  <si>
    <t>MOH16MV2</t>
  </si>
  <si>
    <t>MOH16MV3</t>
  </si>
  <si>
    <t>MOH16MB1</t>
  </si>
  <si>
    <t>MOH16MB2</t>
  </si>
  <si>
    <t>MOH16MB3</t>
  </si>
  <si>
    <t>MOH16MM1</t>
  </si>
  <si>
    <t>MOH16MM2</t>
  </si>
  <si>
    <t>MOH16MN1</t>
  </si>
  <si>
    <t>MOH16MN2</t>
  </si>
  <si>
    <t>MOH16MN3</t>
  </si>
  <si>
    <t>MOH16MW1</t>
  </si>
  <si>
    <t>MOH16MW2</t>
  </si>
  <si>
    <t>MOH16MW3</t>
  </si>
  <si>
    <t>MOH16MW4</t>
  </si>
  <si>
    <t>MOH16ND1</t>
  </si>
  <si>
    <t>MOH16ND2</t>
  </si>
  <si>
    <t>MOH16ND3</t>
  </si>
  <si>
    <t>Makueni County</t>
  </si>
  <si>
    <t>Total Devices (Makueni County)</t>
  </si>
  <si>
    <t>Emali Sub County Hospital</t>
  </si>
  <si>
    <t>Kalawa Sub County Hospital</t>
  </si>
  <si>
    <t>Kambu Sub County Hospital</t>
  </si>
  <si>
    <t>Kibwezi Sub County Hospital</t>
  </si>
  <si>
    <t>Kilungu Sub County Hospital</t>
  </si>
  <si>
    <t>Kisau Sub County Hospital</t>
  </si>
  <si>
    <t>Makindu Sub County Hospital</t>
  </si>
  <si>
    <t>Matiliku Sub County Hospital</t>
  </si>
  <si>
    <t>Mbooni Sub County Hospital</t>
  </si>
  <si>
    <t>Mtito Andei Sub County Hospital</t>
  </si>
  <si>
    <t>Mukuyuni Sub County Hospital</t>
  </si>
  <si>
    <t>Mutyambua Sub County Hospital</t>
  </si>
  <si>
    <t>Nthongoni Sub County Hospital</t>
  </si>
  <si>
    <t>Sultan Hamud Sub County Hospital</t>
  </si>
  <si>
    <t>Tawa Sub County Hospital</t>
  </si>
  <si>
    <t>MOH1701</t>
  </si>
  <si>
    <t>MOH1702</t>
  </si>
  <si>
    <t>MOH1703</t>
  </si>
  <si>
    <t>MOH1704</t>
  </si>
  <si>
    <t>MOH1705</t>
  </si>
  <si>
    <t>MOH1706</t>
  </si>
  <si>
    <t>MOH1707</t>
  </si>
  <si>
    <t>MOH1708</t>
  </si>
  <si>
    <t>MOH1709</t>
  </si>
  <si>
    <t>MOH1710</t>
  </si>
  <si>
    <t>MOH1711</t>
  </si>
  <si>
    <t>MOH1712</t>
  </si>
  <si>
    <t>MOH1713</t>
  </si>
  <si>
    <t>MOH1714</t>
  </si>
  <si>
    <t>MOH1715</t>
  </si>
  <si>
    <t>MOH1716</t>
  </si>
  <si>
    <t>MOH1717</t>
  </si>
  <si>
    <t>MOH1718</t>
  </si>
  <si>
    <t>MOH1724</t>
  </si>
  <si>
    <t>MOH1725</t>
  </si>
  <si>
    <t>MOH1726</t>
  </si>
  <si>
    <t>MOH1727</t>
  </si>
  <si>
    <t>MOH1728</t>
  </si>
  <si>
    <t>MOH1729</t>
  </si>
  <si>
    <t>MOH1730</t>
  </si>
  <si>
    <t>MOH1731</t>
  </si>
  <si>
    <t>MOH1732</t>
  </si>
  <si>
    <t>MOH1733</t>
  </si>
  <si>
    <t>MOH1734</t>
  </si>
  <si>
    <t>MOH1735</t>
  </si>
  <si>
    <t>MOH1736</t>
  </si>
  <si>
    <t>MOH1737</t>
  </si>
  <si>
    <t>MOH1738</t>
  </si>
  <si>
    <t>MOH1739</t>
  </si>
  <si>
    <t>MOH1740</t>
  </si>
  <si>
    <t>MOH1741</t>
  </si>
  <si>
    <t>MOH1742</t>
  </si>
  <si>
    <t>MOH1743</t>
  </si>
  <si>
    <t>MOH1744</t>
  </si>
  <si>
    <t>MOH1745</t>
  </si>
  <si>
    <t>MOH1746</t>
  </si>
  <si>
    <t>MOH1747</t>
  </si>
  <si>
    <t>MOH1748</t>
  </si>
  <si>
    <t>MOH1749</t>
  </si>
  <si>
    <t>MOH1750</t>
  </si>
  <si>
    <t>Mandera County</t>
  </si>
  <si>
    <t>Total Devices (Mandera County)</t>
  </si>
  <si>
    <t>(Banisa, Elwak , Kotulo , Lafey, Rhamu, Takaba )</t>
  </si>
  <si>
    <t>Banisa Sub County Hospital</t>
  </si>
  <si>
    <t>Elwak  Sub County Hospital</t>
  </si>
  <si>
    <t>Kotulo  Sub County Hospital</t>
  </si>
  <si>
    <t>Lafey Sub-County Hospital</t>
  </si>
  <si>
    <t>Mandera County Referral Hospital</t>
  </si>
  <si>
    <t>Rhamu Sub County Hospital</t>
  </si>
  <si>
    <t>Takaba  Sub County Hospital</t>
  </si>
  <si>
    <t>MOH901</t>
  </si>
  <si>
    <t>MOH902</t>
  </si>
  <si>
    <t>MOH903</t>
  </si>
  <si>
    <t>MOH904</t>
  </si>
  <si>
    <t>MOH905</t>
  </si>
  <si>
    <t>MOH906</t>
  </si>
  <si>
    <t>MOH907</t>
  </si>
  <si>
    <t>MOH908</t>
  </si>
  <si>
    <t>MOH909</t>
  </si>
  <si>
    <t>MOH910</t>
  </si>
  <si>
    <t>MOH911</t>
  </si>
  <si>
    <t>MOH912</t>
  </si>
  <si>
    <t>MOH913</t>
  </si>
  <si>
    <t>MOH914</t>
  </si>
  <si>
    <t>MOH915</t>
  </si>
  <si>
    <t>MOH916</t>
  </si>
  <si>
    <t>MOH917</t>
  </si>
  <si>
    <t>MOH918</t>
  </si>
  <si>
    <t>MOH919</t>
  </si>
  <si>
    <t>MOH920</t>
  </si>
  <si>
    <t>MOH921</t>
  </si>
  <si>
    <t>MOH922</t>
  </si>
  <si>
    <t>MOH923</t>
  </si>
  <si>
    <t>Marsabit County</t>
  </si>
  <si>
    <t>Total Devices (Marsabit County)</t>
  </si>
  <si>
    <t>(Kalacha, Laisamiss, Moyale)</t>
  </si>
  <si>
    <t>Kalacha Sub County Hospital</t>
  </si>
  <si>
    <t>Laisamiss Sub County Hospital</t>
  </si>
  <si>
    <t>Marsabit County Referral Hospital</t>
  </si>
  <si>
    <t>Moyale Sub County Hospital</t>
  </si>
  <si>
    <t>MOH1001</t>
  </si>
  <si>
    <t>MOH1002</t>
  </si>
  <si>
    <t>MOH1003</t>
  </si>
  <si>
    <t>MOH1004</t>
  </si>
  <si>
    <t>MOH1005</t>
  </si>
  <si>
    <t>MOH1006</t>
  </si>
  <si>
    <t>MOH1007</t>
  </si>
  <si>
    <t>MOH1008</t>
  </si>
  <si>
    <t>MOH1009</t>
  </si>
  <si>
    <t>MOH1010</t>
  </si>
  <si>
    <t>MOH1011</t>
  </si>
  <si>
    <t>MOH1012</t>
  </si>
  <si>
    <t>MOH1013</t>
  </si>
  <si>
    <t>MOH1014</t>
  </si>
  <si>
    <t>MOH1015</t>
  </si>
  <si>
    <t>Meru County</t>
  </si>
  <si>
    <t>Total Devices (Meru County)</t>
  </si>
  <si>
    <t>(Gaki, Githongo, Kangeta, Kanyakine, Kibirichia, Kinoro, Mbeu, Miathene, Mikinduri, Mikumbune, Muthara, Mutuati, Naari, Nyambene, Timau)</t>
  </si>
  <si>
    <t>Gaki Sub county hospital</t>
  </si>
  <si>
    <t>Githongo Sub county hospital</t>
  </si>
  <si>
    <t>Kangeta Sub county hospital</t>
  </si>
  <si>
    <t>Kanyakine Sub county Hospital</t>
  </si>
  <si>
    <t>Kibirichia Sub county hospital</t>
  </si>
  <si>
    <t>Kinoro Sub county Hospital</t>
  </si>
  <si>
    <t>Mbeu Sub county hospital</t>
  </si>
  <si>
    <t>Miathene Sub county Hospital</t>
  </si>
  <si>
    <t>Mikinduri Sub county Hospital</t>
  </si>
  <si>
    <t>Mikumbune Sub county hospital</t>
  </si>
  <si>
    <t>Muthara Sub county Hospital</t>
  </si>
  <si>
    <t>Mutuati Sub county Hospital</t>
  </si>
  <si>
    <t>Naari Sub county hospital</t>
  </si>
  <si>
    <t>Nyambene Sub county  Hospital</t>
  </si>
  <si>
    <t>Timau Sub county hospital</t>
  </si>
  <si>
    <t>MOH1201</t>
  </si>
  <si>
    <t>MOH1202</t>
  </si>
  <si>
    <t>MOH1203</t>
  </si>
  <si>
    <t>MOH1204</t>
  </si>
  <si>
    <t>MOH1205</t>
  </si>
  <si>
    <t>MOH1206</t>
  </si>
  <si>
    <t>MOH1207</t>
  </si>
  <si>
    <t>MOH1208</t>
  </si>
  <si>
    <t>MOH1209</t>
  </si>
  <si>
    <t>MOH1210</t>
  </si>
  <si>
    <t>MOH1211</t>
  </si>
  <si>
    <t>MOH1212</t>
  </si>
  <si>
    <t>MOH1213</t>
  </si>
  <si>
    <t>MOH1214</t>
  </si>
  <si>
    <t>MOH1215</t>
  </si>
  <si>
    <t>MOH1216</t>
  </si>
  <si>
    <t>MOH1217</t>
  </si>
  <si>
    <t>MOH1218</t>
  </si>
  <si>
    <t>MOH1219</t>
  </si>
  <si>
    <t>MOH1220</t>
  </si>
  <si>
    <t>MOH1221</t>
  </si>
  <si>
    <t>MOH1227</t>
  </si>
  <si>
    <t>MOH1228</t>
  </si>
  <si>
    <t>MOH1229</t>
  </si>
  <si>
    <t>MOH1230</t>
  </si>
  <si>
    <t>MOH1231</t>
  </si>
  <si>
    <t>MOH1232</t>
  </si>
  <si>
    <t>MOH1233</t>
  </si>
  <si>
    <t>MOH1234</t>
  </si>
  <si>
    <t>MOH1235</t>
  </si>
  <si>
    <t>MOH1236</t>
  </si>
  <si>
    <t>MOH1237</t>
  </si>
  <si>
    <t>MOH1238</t>
  </si>
  <si>
    <t>MOH1239</t>
  </si>
  <si>
    <t>MOH1240</t>
  </si>
  <si>
    <t>MOH1241</t>
  </si>
  <si>
    <t>MOH1242</t>
  </si>
  <si>
    <t>MOH1243</t>
  </si>
  <si>
    <t>MOH1244</t>
  </si>
  <si>
    <t>MOH1245</t>
  </si>
  <si>
    <t>MOH1246</t>
  </si>
  <si>
    <t>MOH1247</t>
  </si>
  <si>
    <t>MOH1248</t>
  </si>
  <si>
    <t>MOH1249</t>
  </si>
  <si>
    <t>MOH1250</t>
  </si>
  <si>
    <t>Migori County</t>
  </si>
  <si>
    <t>Total Devices (Migori County)</t>
  </si>
  <si>
    <t>(Awendo, Isibania, Karungu, Kegonga, Macalder, Ntimaru, Nyamaranga, Othoro, Rongo, Uriri)</t>
  </si>
  <si>
    <t>Awendo Sub County Hospital</t>
  </si>
  <si>
    <t>Isibania Sub County Hospital</t>
  </si>
  <si>
    <t>Karungu Sub County Hospital</t>
  </si>
  <si>
    <t>Kegonga Sub County Hospital</t>
  </si>
  <si>
    <t>Macalder Sub County Hospital</t>
  </si>
  <si>
    <t>Ntimaru Sub County Hospital</t>
  </si>
  <si>
    <t>Nyamaranga Sub County Hospital</t>
  </si>
  <si>
    <t>Othoro Sub County Hospital</t>
  </si>
  <si>
    <t>Rongo Sub County Hospital</t>
  </si>
  <si>
    <t>Uriri Sub County Hospital</t>
  </si>
  <si>
    <t>MOH4401</t>
  </si>
  <si>
    <t>MOH4402</t>
  </si>
  <si>
    <t>MOH4403</t>
  </si>
  <si>
    <t>MOH4404</t>
  </si>
  <si>
    <t>MOH4405</t>
  </si>
  <si>
    <t>MOH4406</t>
  </si>
  <si>
    <t>MOH4407</t>
  </si>
  <si>
    <t>MOH4408</t>
  </si>
  <si>
    <t>MOH4409</t>
  </si>
  <si>
    <t>MOH4410</t>
  </si>
  <si>
    <t>MOH4411</t>
  </si>
  <si>
    <t>MOH4412</t>
  </si>
  <si>
    <t>MOH4413</t>
  </si>
  <si>
    <t>MOH4414</t>
  </si>
  <si>
    <t>MOH4415</t>
  </si>
  <si>
    <t>MOH4421</t>
  </si>
  <si>
    <t>MOH4422</t>
  </si>
  <si>
    <t>MOH4423</t>
  </si>
  <si>
    <t>MOH4424</t>
  </si>
  <si>
    <t>MOH4425</t>
  </si>
  <si>
    <t>MOH4426</t>
  </si>
  <si>
    <t>MOH4427</t>
  </si>
  <si>
    <t>MOH4428</t>
  </si>
  <si>
    <t>MOH4429</t>
  </si>
  <si>
    <t>MOH4430</t>
  </si>
  <si>
    <t>MOH4431</t>
  </si>
  <si>
    <t>MOH4432</t>
  </si>
  <si>
    <t>MOH4433</t>
  </si>
  <si>
    <t>MOH4434</t>
  </si>
  <si>
    <t>MOH4435</t>
  </si>
  <si>
    <t>Mombasa County</t>
  </si>
  <si>
    <t>Total Devices (Mombasa County)</t>
  </si>
  <si>
    <t>(Likoni, Mrima, Port Reitz, Tudor)</t>
  </si>
  <si>
    <t>Coast Provincial General Hospital</t>
  </si>
  <si>
    <t>Likoni Sub County Hospital</t>
  </si>
  <si>
    <t>Mrima Sub County Hospital</t>
  </si>
  <si>
    <t>Port Reitz Sub County Hospital</t>
  </si>
  <si>
    <t>Tudor Sub County Hospital</t>
  </si>
  <si>
    <t>MOH101</t>
  </si>
  <si>
    <t>MOH102</t>
  </si>
  <si>
    <t>MOH103</t>
  </si>
  <si>
    <t>MOH104</t>
  </si>
  <si>
    <t>MOH105</t>
  </si>
  <si>
    <t>MOH106</t>
  </si>
  <si>
    <t>MOH107</t>
  </si>
  <si>
    <t>MOH108</t>
  </si>
  <si>
    <t>MOH109</t>
  </si>
  <si>
    <t>MOH110</t>
  </si>
  <si>
    <t>MOH111</t>
  </si>
  <si>
    <t>MOH112</t>
  </si>
  <si>
    <t>MOH113</t>
  </si>
  <si>
    <t>MOH114</t>
  </si>
  <si>
    <t>MOH115</t>
  </si>
  <si>
    <t>MOH116</t>
  </si>
  <si>
    <t>MOH117</t>
  </si>
  <si>
    <t>MOH118</t>
  </si>
  <si>
    <t>MOH119</t>
  </si>
  <si>
    <t>Total Devices (Murang'a County)</t>
  </si>
  <si>
    <t>4 devices reallocated: 3 from Kiambu, 1 from Embu</t>
  </si>
  <si>
    <t>(Kandara, Kangema, Kigumo, Kirwara, Maragua, Muriranjas)</t>
  </si>
  <si>
    <t>(Kangari, Makuyu, Sabasaba)</t>
  </si>
  <si>
    <t>Number of Devices</t>
  </si>
  <si>
    <t>Kandara Sub County Hospital</t>
  </si>
  <si>
    <t>MOH21KN1</t>
  </si>
  <si>
    <t>MOH21KN2</t>
  </si>
  <si>
    <t>Kangari Health Center</t>
  </si>
  <si>
    <t>MOH21KN3</t>
  </si>
  <si>
    <t>Kangema Sub County Hospital</t>
  </si>
  <si>
    <t>Kangari Health center</t>
  </si>
  <si>
    <t>MOH21KG2</t>
  </si>
  <si>
    <t>Kigumo Sub County Hospital</t>
  </si>
  <si>
    <t>MOH21KM1</t>
  </si>
  <si>
    <t>Kirwara Sub District Hospital</t>
  </si>
  <si>
    <t>MOH21KM2</t>
  </si>
  <si>
    <t>Makuyu Health Centre</t>
  </si>
  <si>
    <t>MOH21KM3</t>
  </si>
  <si>
    <t>Maragua Sub County Hospital</t>
  </si>
  <si>
    <t>MOH21KO1</t>
  </si>
  <si>
    <t>Murang'a County Referral Hospital</t>
  </si>
  <si>
    <t>MOH21KO2</t>
  </si>
  <si>
    <t>Muriranjas Sub County Hospital</t>
  </si>
  <si>
    <t>MOH21KO3</t>
  </si>
  <si>
    <t>MOH21KR1</t>
  </si>
  <si>
    <t>MOH21KR2</t>
  </si>
  <si>
    <t>MOH21KR3</t>
  </si>
  <si>
    <t>MOH21MK1</t>
  </si>
  <si>
    <t>Sabasaba Health Centre</t>
  </si>
  <si>
    <t>MOH21SB1</t>
  </si>
  <si>
    <t>MOH21MR1</t>
  </si>
  <si>
    <t>MOH21MR2</t>
  </si>
  <si>
    <t>MOH21MR3</t>
  </si>
  <si>
    <t>MOH21MR4</t>
  </si>
  <si>
    <t>MOH21MC1</t>
  </si>
  <si>
    <t>MOH21MC2</t>
  </si>
  <si>
    <t>MOH21MC3</t>
  </si>
  <si>
    <t>MOH21MC4</t>
  </si>
  <si>
    <t>MOH21MC5</t>
  </si>
  <si>
    <t>Muriranjas Sub Couinty Hospital</t>
  </si>
  <si>
    <t>MOH21MJ1</t>
  </si>
  <si>
    <t>MOH21MJ2</t>
  </si>
  <si>
    <t>MOH21MJ3</t>
  </si>
  <si>
    <t>Nairobi County</t>
  </si>
  <si>
    <t>⚠  Removed Facilities (7)</t>
  </si>
  <si>
    <t>Not included in this allocation:</t>
  </si>
  <si>
    <t>Total Devices (Nairobi County)</t>
  </si>
  <si>
    <t>Kayole II Hospital (2 devices)</t>
  </si>
  <si>
    <t>Lang'ata Sub County Hospital (3 devices)</t>
  </si>
  <si>
    <t>Makadara Hospital (3 devices)</t>
  </si>
  <si>
    <t>Mathare North Hospital (3 devices)</t>
  </si>
  <si>
    <t>Njiru Hospital (2 devices)</t>
  </si>
  <si>
    <t>Riruta Health Center (2 devices)</t>
  </si>
  <si>
    <t>Westlands Hospital (3 devices)</t>
  </si>
  <si>
    <t>18 devices removed in total</t>
  </si>
  <si>
    <t>Jumuia Hospital Huruma</t>
  </si>
  <si>
    <t>Mama Lucy Hospital</t>
  </si>
  <si>
    <t>Mbagathi Hospital</t>
  </si>
  <si>
    <t>Mutuini Sub County Hospital</t>
  </si>
  <si>
    <t>Pumwani Hospital</t>
  </si>
  <si>
    <t>MOH4701</t>
  </si>
  <si>
    <t>MOH4702</t>
  </si>
  <si>
    <t>MOH4703</t>
  </si>
  <si>
    <t>MOH4704</t>
  </si>
  <si>
    <t>MOH4705</t>
  </si>
  <si>
    <t>MOH4709</t>
  </si>
  <si>
    <t>MOH4710</t>
  </si>
  <si>
    <t>TBC</t>
  </si>
  <si>
    <t>Nakuru County</t>
  </si>
  <si>
    <t>Total Devices (Nakuru County)</t>
  </si>
  <si>
    <t>(Annex, Bahati, Bondeni, Elburgon, Gilgil, Kabazi, Keringet, Langalanga, Mirugi Kariuki, Molo, Naivasha, Njoro, Olenguruone, Soin, Subukia)</t>
  </si>
  <si>
    <t>(Ikumbi)</t>
  </si>
  <si>
    <t>Annex Sub-County Hospital</t>
  </si>
  <si>
    <t>Bahati Sub County Hospital</t>
  </si>
  <si>
    <t>Bondeni Sub-County Hospital</t>
  </si>
  <si>
    <t>Elburgon Sub-County Hospital</t>
  </si>
  <si>
    <t>Gilgil Sub-County Hospital</t>
  </si>
  <si>
    <t>Ikumbi Health Centre</t>
  </si>
  <si>
    <t>Kabazi Sub-County Hospital</t>
  </si>
  <si>
    <t>Keringet Sub-County Hospital</t>
  </si>
  <si>
    <t>Langalanga Sub-County Hospital</t>
  </si>
  <si>
    <t>Mirugi Kariuki Sub County Hospital</t>
  </si>
  <si>
    <t>Molo Sub-County Hospital</t>
  </si>
  <si>
    <t>Naivasha Sub-County Hospital</t>
  </si>
  <si>
    <t>Nakuru Provincial General Hospital</t>
  </si>
  <si>
    <t>Njoro Sub-County Hospital</t>
  </si>
  <si>
    <t>Olenguruone Sub-County Hospital</t>
  </si>
  <si>
    <t>Soin Sub County Hospital</t>
  </si>
  <si>
    <t>Subukia Sub-County Hospital</t>
  </si>
  <si>
    <t>MOH32AN1</t>
  </si>
  <si>
    <t>MOH32AN2</t>
  </si>
  <si>
    <t>MOH32AN3</t>
  </si>
  <si>
    <t>MOH32AN4</t>
  </si>
  <si>
    <t>MOH32BH1</t>
  </si>
  <si>
    <t>MOH32BH2</t>
  </si>
  <si>
    <t>MOH32BH3</t>
  </si>
  <si>
    <t>MOH32BH4</t>
  </si>
  <si>
    <t>MOH32BN1</t>
  </si>
  <si>
    <t>MOH32BN2</t>
  </si>
  <si>
    <t>MOH32EL1</t>
  </si>
  <si>
    <t>MOH32EL2</t>
  </si>
  <si>
    <t>MOH32EL3</t>
  </si>
  <si>
    <t>MOH32GL1</t>
  </si>
  <si>
    <t>MOH32GL2</t>
  </si>
  <si>
    <t>MOH32GL3</t>
  </si>
  <si>
    <t>MOH32IK1</t>
  </si>
  <si>
    <t>MOH32IK2</t>
  </si>
  <si>
    <t>MOH32KB1</t>
  </si>
  <si>
    <t>MOH32KB2</t>
  </si>
  <si>
    <t>MOH32KR1</t>
  </si>
  <si>
    <t>MOH32KR2</t>
  </si>
  <si>
    <t>MOH32LN1</t>
  </si>
  <si>
    <t>MOH32LN2</t>
  </si>
  <si>
    <t>MOH32MR1</t>
  </si>
  <si>
    <t>MOH32MR2</t>
  </si>
  <si>
    <t>MOH32ML1</t>
  </si>
  <si>
    <t>MOH32ML2</t>
  </si>
  <si>
    <t>MOH32ML3</t>
  </si>
  <si>
    <t>MOH32ML4</t>
  </si>
  <si>
    <t>MOH32NV1</t>
  </si>
  <si>
    <t>MOH32NV2</t>
  </si>
  <si>
    <t>MOH32NV3</t>
  </si>
  <si>
    <t>MOH32NV4</t>
  </si>
  <si>
    <t>MOH32NV5</t>
  </si>
  <si>
    <t>MOH32NV6</t>
  </si>
  <si>
    <t>MOH32NK1</t>
  </si>
  <si>
    <t>MOH32NK2</t>
  </si>
  <si>
    <t>MOH32NK3</t>
  </si>
  <si>
    <t>MOH32NK4</t>
  </si>
  <si>
    <t>MOH32NK5</t>
  </si>
  <si>
    <t>MOH32NK6</t>
  </si>
  <si>
    <t>MOH32NK7</t>
  </si>
  <si>
    <t>MOH32NJ1</t>
  </si>
  <si>
    <t>MOH32NJ2</t>
  </si>
  <si>
    <t>MOH32NJ3</t>
  </si>
  <si>
    <t>MOH32OL1</t>
  </si>
  <si>
    <t>MOH32OL2</t>
  </si>
  <si>
    <t>MOH32OL3</t>
  </si>
  <si>
    <t>MOH32SN1</t>
  </si>
  <si>
    <t>MOH32SN2</t>
  </si>
  <si>
    <t>MOH32SN3</t>
  </si>
  <si>
    <t>MOH32SB1</t>
  </si>
  <si>
    <t>MOH32SB2</t>
  </si>
  <si>
    <t>MOH32SB3</t>
  </si>
  <si>
    <t>NANDI COUNTY</t>
  </si>
  <si>
    <t>Total Devices (Nandi County)</t>
  </si>
  <si>
    <t>Chepterwai Sub county hospital</t>
  </si>
  <si>
    <t>MOH2901</t>
  </si>
  <si>
    <t>MOH2902</t>
  </si>
  <si>
    <t>MOH2903</t>
  </si>
  <si>
    <t>Kabiyet Sub county hospital</t>
  </si>
  <si>
    <t>MOH2904</t>
  </si>
  <si>
    <t>MOH2905</t>
  </si>
  <si>
    <t>MOH2906</t>
  </si>
  <si>
    <t>Kapkangani Health Centre</t>
  </si>
  <si>
    <t>MOH2907</t>
  </si>
  <si>
    <t>MOH2908</t>
  </si>
  <si>
    <t>Kapsabet County Referral Hosp</t>
  </si>
  <si>
    <t>MOH2909</t>
  </si>
  <si>
    <t>MOH2910</t>
  </si>
  <si>
    <t>MOH2911</t>
  </si>
  <si>
    <t>TOTAL</t>
  </si>
  <si>
    <t>MOH2912</t>
  </si>
  <si>
    <t>MOH2913</t>
  </si>
  <si>
    <t>Kaptumo Sub county hospital</t>
  </si>
  <si>
    <t>MOH2914</t>
  </si>
  <si>
    <t>MOH2915</t>
  </si>
  <si>
    <t>MOH2916</t>
  </si>
  <si>
    <t>Kibwareng  Health Centre</t>
  </si>
  <si>
    <t>MOH2917</t>
  </si>
  <si>
    <t>Kilibwoni Health Centre</t>
  </si>
  <si>
    <t>MOH2918</t>
  </si>
  <si>
    <t>Meteitei Sub county hospital</t>
  </si>
  <si>
    <t>MOH2919</t>
  </si>
  <si>
    <t>MOH2920</t>
  </si>
  <si>
    <t>MOH2921</t>
  </si>
  <si>
    <t>Mosoriot Sub county hospital</t>
  </si>
  <si>
    <t>MOH2922</t>
  </si>
  <si>
    <t>MOH2923</t>
  </si>
  <si>
    <t>MOH2924</t>
  </si>
  <si>
    <t>MOH2925</t>
  </si>
  <si>
    <t>Nandi Hills Sub County Hospital</t>
  </si>
  <si>
    <t>MOH2926</t>
  </si>
  <si>
    <t>MOH2927</t>
  </si>
  <si>
    <t>MOH2928</t>
  </si>
  <si>
    <t>MOH2929</t>
  </si>
  <si>
    <t>Narok County</t>
  </si>
  <si>
    <t>Total Devices (Narok County)</t>
  </si>
  <si>
    <t>(Lolgorian, Nairagie Enkare, Ololulunga, Trans Mara West)</t>
  </si>
  <si>
    <t>Lolgorian Sub county Hospital</t>
  </si>
  <si>
    <t>Nairagie Enkare Sub county hospital</t>
  </si>
  <si>
    <t>Ololulunga Sub county Hospital</t>
  </si>
  <si>
    <t>Trans Mara West Sub county Hospital</t>
  </si>
  <si>
    <t>MOH3301</t>
  </si>
  <si>
    <t>MOH3302</t>
  </si>
  <si>
    <t>MOH3303</t>
  </si>
  <si>
    <t>MOH3304</t>
  </si>
  <si>
    <t>MOH3305</t>
  </si>
  <si>
    <t>MOH3306</t>
  </si>
  <si>
    <t>MOH3307</t>
  </si>
  <si>
    <t>MOH3313</t>
  </si>
  <si>
    <t>MOH3314</t>
  </si>
  <si>
    <t>MOH3315</t>
  </si>
  <si>
    <t>MOH3316</t>
  </si>
  <si>
    <t>MOH3317</t>
  </si>
  <si>
    <t>MOH3318</t>
  </si>
  <si>
    <t>Nyamira County</t>
  </si>
  <si>
    <t>Total Devices (Nyamira County)</t>
  </si>
  <si>
    <t>(Ekerenyo, Esani, Kijauri, Manga, Masaba, Nyamusi, Nyangena)</t>
  </si>
  <si>
    <t>Ekerenyo Sub County Hospital</t>
  </si>
  <si>
    <t>Esani Sub County Hospital</t>
  </si>
  <si>
    <t>Kijauri Sub County Hospital</t>
  </si>
  <si>
    <t>Manga Sub County Hospital</t>
  </si>
  <si>
    <t>Masaba Sub County Hospital</t>
  </si>
  <si>
    <t>Nyamira   County Referral Hospital</t>
  </si>
  <si>
    <t>Nyamusi Sub County Hospital</t>
  </si>
  <si>
    <t>Nyangena sub county hospital</t>
  </si>
  <si>
    <t>MOH4601</t>
  </si>
  <si>
    <t>MOH4602</t>
  </si>
  <si>
    <t>MOH4603</t>
  </si>
  <si>
    <t>MOH4604</t>
  </si>
  <si>
    <t>MOH4605</t>
  </si>
  <si>
    <t>MOH4606</t>
  </si>
  <si>
    <t>MOH4607</t>
  </si>
  <si>
    <t>MOH4608</t>
  </si>
  <si>
    <t>MOH4609</t>
  </si>
  <si>
    <t>MOH4610</t>
  </si>
  <si>
    <t>MOH4611</t>
  </si>
  <si>
    <t>MOH4612</t>
  </si>
  <si>
    <t>MOH4613</t>
  </si>
  <si>
    <t>MOH4614</t>
  </si>
  <si>
    <t>MOH4615</t>
  </si>
  <si>
    <t>MOH4616</t>
  </si>
  <si>
    <t>MOH4617</t>
  </si>
  <si>
    <t>MOH4618</t>
  </si>
  <si>
    <t>MOH4619</t>
  </si>
  <si>
    <t>MOH4620</t>
  </si>
  <si>
    <t>MOH4621</t>
  </si>
  <si>
    <t>MOH4622</t>
  </si>
  <si>
    <t>MOH4623</t>
  </si>
  <si>
    <t>MOH4624</t>
  </si>
  <si>
    <t>MOH4625</t>
  </si>
  <si>
    <t>MOH4626</t>
  </si>
  <si>
    <t>Nyandarua County</t>
  </si>
  <si>
    <t>Total Devices (Nyandarua County)</t>
  </si>
  <si>
    <t>(Engineer)</t>
  </si>
  <si>
    <t>Engineer Sub County Hospital</t>
  </si>
  <si>
    <t>JM Kariuki County Referral Hospital</t>
  </si>
  <si>
    <t>Pope Benedict Hospital</t>
  </si>
  <si>
    <t>MOH1801</t>
  </si>
  <si>
    <t>MOH1802</t>
  </si>
  <si>
    <t>MOH1803</t>
  </si>
  <si>
    <t>MOH1804</t>
  </si>
  <si>
    <t>MOH1805</t>
  </si>
  <si>
    <t>MOH1806</t>
  </si>
  <si>
    <t>MOH1807</t>
  </si>
  <si>
    <t>MOH1808</t>
  </si>
  <si>
    <t>MOH1810</t>
  </si>
  <si>
    <t>MOH1811</t>
  </si>
  <si>
    <t>MOH1812</t>
  </si>
  <si>
    <t>Nyeri County</t>
  </si>
  <si>
    <t>Total Devices (Nyeri County)</t>
  </si>
  <si>
    <t>Karatina Sub County Hospital</t>
  </si>
  <si>
    <t>Mt Kenya Hospital</t>
  </si>
  <si>
    <t>Mukurweini Sub County Hospital</t>
  </si>
  <si>
    <t>Othaya Sub county hospital</t>
  </si>
  <si>
    <t>Consolata Hospital Mathari</t>
  </si>
  <si>
    <t>MOH1901</t>
  </si>
  <si>
    <t>MOH1902</t>
  </si>
  <si>
    <t>MOH1903</t>
  </si>
  <si>
    <t>MOH1904</t>
  </si>
  <si>
    <t>MOH1905</t>
  </si>
  <si>
    <t>MOH1906</t>
  </si>
  <si>
    <t>MOH1907</t>
  </si>
  <si>
    <t>MOH1908</t>
  </si>
  <si>
    <t>MOH1909</t>
  </si>
  <si>
    <t>MOH1910</t>
  </si>
  <si>
    <t>MOH1911</t>
  </si>
  <si>
    <t>MOH1917</t>
  </si>
  <si>
    <t>MOH1918</t>
  </si>
  <si>
    <t>MOH1920</t>
  </si>
  <si>
    <t>MOH1921</t>
  </si>
  <si>
    <t>MOH1922</t>
  </si>
  <si>
    <t>Samburu County</t>
  </si>
  <si>
    <t>Total Devices (Samburu County)</t>
  </si>
  <si>
    <t>(Archers Post, Baragoi, Wamba)</t>
  </si>
  <si>
    <t>Archers Post sub county hospital</t>
  </si>
  <si>
    <t>Baragoi subcounty hospital</t>
  </si>
  <si>
    <t>Maralal County Referral Hospital</t>
  </si>
  <si>
    <t>Wamba subcounty hospital</t>
  </si>
  <si>
    <t>MOH2501</t>
  </si>
  <si>
    <t>MOH2502</t>
  </si>
  <si>
    <t>MOH2503</t>
  </si>
  <si>
    <t>MOH2504</t>
  </si>
  <si>
    <t>MOH2505</t>
  </si>
  <si>
    <t>MOH2506</t>
  </si>
  <si>
    <t>MOH2507</t>
  </si>
  <si>
    <t>MOH2508</t>
  </si>
  <si>
    <t>MOH2509</t>
  </si>
  <si>
    <t>MOH2510</t>
  </si>
  <si>
    <t>MOH2511</t>
  </si>
  <si>
    <t>MOH2512</t>
  </si>
  <si>
    <t>MOH2513</t>
  </si>
  <si>
    <t>MOH2514</t>
  </si>
  <si>
    <t>Siaya County</t>
  </si>
  <si>
    <t>Total Devices (Siaya County)</t>
  </si>
  <si>
    <t>(Ambira, Bondo, Got Agul, Madiany , Rwamba, Sigomore, Ukwala, Uyawi, Yala)</t>
  </si>
  <si>
    <t>Ambira Sub County Hospital</t>
  </si>
  <si>
    <t>Bondo Sub County Hospital</t>
  </si>
  <si>
    <t>Got Agul Sub County Hospital</t>
  </si>
  <si>
    <t>Madiany  Sub County Hospital</t>
  </si>
  <si>
    <t>Rwamba Sub County Hospital</t>
  </si>
  <si>
    <t>Siaya  County Referral Hospital</t>
  </si>
  <si>
    <t>Sigomore Sub County Hospital</t>
  </si>
  <si>
    <t>Ukwala Sub County Hospital</t>
  </si>
  <si>
    <t>Uyawi Sub County Hospital</t>
  </si>
  <si>
    <t>Yala Sub County Hospital</t>
  </si>
  <si>
    <t>MOH4101</t>
  </si>
  <si>
    <t>MOH4102</t>
  </si>
  <si>
    <t>MOH4103</t>
  </si>
  <si>
    <t>MOH4104</t>
  </si>
  <si>
    <t>MOH4105</t>
  </si>
  <si>
    <t>MOH4106</t>
  </si>
  <si>
    <t>MOH4107</t>
  </si>
  <si>
    <t>MOH4108</t>
  </si>
  <si>
    <t>MOH4109</t>
  </si>
  <si>
    <t>MOH4110</t>
  </si>
  <si>
    <t>MOH4111</t>
  </si>
  <si>
    <t>MOH4112</t>
  </si>
  <si>
    <t>MOH4113</t>
  </si>
  <si>
    <t>MOH4114</t>
  </si>
  <si>
    <t>MOH4115</t>
  </si>
  <si>
    <t>MOH4116</t>
  </si>
  <si>
    <t>MOH4117</t>
  </si>
  <si>
    <t>MOH4118</t>
  </si>
  <si>
    <t>MOH4119</t>
  </si>
  <si>
    <t>MOH4120</t>
  </si>
  <si>
    <t>MOH4121</t>
  </si>
  <si>
    <t>MOH4122</t>
  </si>
  <si>
    <t>MOH4123</t>
  </si>
  <si>
    <t>MOH4124</t>
  </si>
  <si>
    <t>MOH4125</t>
  </si>
  <si>
    <t>MOH4126</t>
  </si>
  <si>
    <t>MOH4127</t>
  </si>
  <si>
    <t>MOH4128</t>
  </si>
  <si>
    <t>MOH4129</t>
  </si>
  <si>
    <t>MOH4130</t>
  </si>
  <si>
    <t>MOH4131</t>
  </si>
  <si>
    <t>MOH4132</t>
  </si>
  <si>
    <t>Taita Taveta County</t>
  </si>
  <si>
    <t>Total Devices (Taita Taveta County)</t>
  </si>
  <si>
    <t>(Mwatate, Taveta, Wesu, Wundanyi)</t>
  </si>
  <si>
    <t>Moi County Referral hospital(Voi)</t>
  </si>
  <si>
    <t>Mwatate sub county hospital</t>
  </si>
  <si>
    <t>Taveta subcounty hospital</t>
  </si>
  <si>
    <t>Wesu sub county hospital</t>
  </si>
  <si>
    <t>Wundanyi sub county hospital</t>
  </si>
  <si>
    <t>MOH601</t>
  </si>
  <si>
    <t>MOH602</t>
  </si>
  <si>
    <t>MOH603</t>
  </si>
  <si>
    <t>MOH604</t>
  </si>
  <si>
    <t>MOH605</t>
  </si>
  <si>
    <t>MOH606</t>
  </si>
  <si>
    <t>MOH607</t>
  </si>
  <si>
    <t>MOH608</t>
  </si>
  <si>
    <t>MOH609</t>
  </si>
  <si>
    <t>MOH610</t>
  </si>
  <si>
    <t>MOH611</t>
  </si>
  <si>
    <t>MOH612</t>
  </si>
  <si>
    <t>MOH613</t>
  </si>
  <si>
    <t>MOH614</t>
  </si>
  <si>
    <t>MOH615</t>
  </si>
  <si>
    <t>MOH616</t>
  </si>
  <si>
    <t>MOH617</t>
  </si>
  <si>
    <t>Tana River County</t>
  </si>
  <si>
    <t>Total Devices (Tana River County)</t>
  </si>
  <si>
    <t>(Bura, Ngao)</t>
  </si>
  <si>
    <t>Bura Sub County Hospital</t>
  </si>
  <si>
    <t>Hola County referral Hospital</t>
  </si>
  <si>
    <t>Ngao Sub County Hospital</t>
  </si>
  <si>
    <t>MOH401</t>
  </si>
  <si>
    <t>MOH402</t>
  </si>
  <si>
    <t>MOH403</t>
  </si>
  <si>
    <t>MOH404</t>
  </si>
  <si>
    <t>MOH405</t>
  </si>
  <si>
    <t>MOH406</t>
  </si>
  <si>
    <t>MOH407</t>
  </si>
  <si>
    <t>MOH408</t>
  </si>
  <si>
    <t>MOH409</t>
  </si>
  <si>
    <t>MOH410</t>
  </si>
  <si>
    <t>MOH411</t>
  </si>
  <si>
    <t>Tharaka-Nithi County</t>
  </si>
  <si>
    <t>Total Devices (Tharaka-Nithi County)</t>
  </si>
  <si>
    <t>(Kibung'a, Magutuni, Marimanti)</t>
  </si>
  <si>
    <t>Chuka County Referral Hospital</t>
  </si>
  <si>
    <t>Kibung'a Sub County Hospital</t>
  </si>
  <si>
    <t>Magutuni Sub County Hospital</t>
  </si>
  <si>
    <t>Marimanti Sub County Hospital</t>
  </si>
  <si>
    <t>PCEA Chogoria</t>
  </si>
  <si>
    <t>MOH1301</t>
  </si>
  <si>
    <t>MOH1302</t>
  </si>
  <si>
    <t>MOH1303</t>
  </si>
  <si>
    <t>MOH1304</t>
  </si>
  <si>
    <t>MOH1305</t>
  </si>
  <si>
    <t>MOH1306</t>
  </si>
  <si>
    <t>MOH1307</t>
  </si>
  <si>
    <t>MOH1308</t>
  </si>
  <si>
    <t>MOH1309</t>
  </si>
  <si>
    <t>MOH1310</t>
  </si>
  <si>
    <t>MOH1311</t>
  </si>
  <si>
    <t>MOH1312</t>
  </si>
  <si>
    <t>MOH1313</t>
  </si>
  <si>
    <t>MOH1315</t>
  </si>
  <si>
    <t>MOH1316</t>
  </si>
  <si>
    <t>MOH1317</t>
  </si>
  <si>
    <t>Total Devices (Trans-Nzoia County)</t>
  </si>
  <si>
    <t>Cherangany Sub County Hospital</t>
  </si>
  <si>
    <t>MOH2601</t>
  </si>
  <si>
    <t>MOH2602</t>
  </si>
  <si>
    <t>MOH2603</t>
  </si>
  <si>
    <t>Endebess Sub County Hospital</t>
  </si>
  <si>
    <t>MOH2604</t>
  </si>
  <si>
    <t>MOH2605</t>
  </si>
  <si>
    <t>MOH2606</t>
  </si>
  <si>
    <t>Kapsara Sub County Hospital</t>
  </si>
  <si>
    <t>MOH2607</t>
  </si>
  <si>
    <t>MOH2608</t>
  </si>
  <si>
    <t>MOH2609</t>
  </si>
  <si>
    <t>Kitale County Referral Hospital</t>
  </si>
  <si>
    <t>MOH2610</t>
  </si>
  <si>
    <t>MOH2611</t>
  </si>
  <si>
    <t>MOH2612</t>
  </si>
  <si>
    <t>MOH2613</t>
  </si>
  <si>
    <t>MOH2614</t>
  </si>
  <si>
    <t>Kwanza Sub County Hospital</t>
  </si>
  <si>
    <t>MOH2615</t>
  </si>
  <si>
    <t>MOH2616</t>
  </si>
  <si>
    <t>MOH2617</t>
  </si>
  <si>
    <t>Lukhome Sub County Hospital</t>
  </si>
  <si>
    <t>MOH2618</t>
  </si>
  <si>
    <t>MOH2619</t>
  </si>
  <si>
    <t>MOH2620</t>
  </si>
  <si>
    <t>MOH2621</t>
  </si>
  <si>
    <t>MOH2622</t>
  </si>
  <si>
    <t>MOH2623</t>
  </si>
  <si>
    <t>Saboti Sub County Hospital</t>
  </si>
  <si>
    <t>MOH2624</t>
  </si>
  <si>
    <t>MOH2625</t>
  </si>
  <si>
    <t>MOH2626</t>
  </si>
  <si>
    <t>Turkana County</t>
  </si>
  <si>
    <t>Total Devices (Turkana County)</t>
  </si>
  <si>
    <t>(Ammusait, Kanamkemer, Katilu, Lokichar, Lokitaung, Lopiding)</t>
  </si>
  <si>
    <t>Ammusait General Hospital</t>
  </si>
  <si>
    <t>Kanamkemer Sub County Hospital</t>
  </si>
  <si>
    <t>Katilu Sub County Hospital</t>
  </si>
  <si>
    <t>Lokichar Sub County Hospital</t>
  </si>
  <si>
    <t>Lodwar County Referral Hospital</t>
  </si>
  <si>
    <t>Lokitaung Sub County Hospital</t>
  </si>
  <si>
    <t>Lopiding Sub County Hospital</t>
  </si>
  <si>
    <t>MOH2301</t>
  </si>
  <si>
    <t>MOH2302</t>
  </si>
  <si>
    <t>MOH2303</t>
  </si>
  <si>
    <t>MOH2304</t>
  </si>
  <si>
    <t>MOH2305</t>
  </si>
  <si>
    <t>MOH2306</t>
  </si>
  <si>
    <t>MOH2307</t>
  </si>
  <si>
    <t>MOH2308</t>
  </si>
  <si>
    <t>MOH2309</t>
  </si>
  <si>
    <t>MOH2310</t>
  </si>
  <si>
    <t>MOH2311</t>
  </si>
  <si>
    <t>MOH2312</t>
  </si>
  <si>
    <t>MOH2313</t>
  </si>
  <si>
    <t>MOH2314</t>
  </si>
  <si>
    <t>MOH2315</t>
  </si>
  <si>
    <t>MOH2316</t>
  </si>
  <si>
    <t>MOH2317</t>
  </si>
  <si>
    <t>MOH2318</t>
  </si>
  <si>
    <t>MOH2319</t>
  </si>
  <si>
    <t>MOH2320</t>
  </si>
  <si>
    <t>MOH2321</t>
  </si>
  <si>
    <t>MOH2322</t>
  </si>
  <si>
    <t>MOH2323</t>
  </si>
  <si>
    <t>Uasin Gishu County</t>
  </si>
  <si>
    <t>Total Devices (Uasin Gishu County)</t>
  </si>
  <si>
    <t>Burn't Forest Sub County Hospital</t>
  </si>
  <si>
    <t>Huruma Sub County Hospital</t>
  </si>
  <si>
    <t>Mama Rachel Hospital</t>
  </si>
  <si>
    <t>Moiben Sub County Hospital</t>
  </si>
  <si>
    <t>Moi Teaching &amp; Referral Hospital</t>
  </si>
  <si>
    <t>Turbo Sub county Hospital</t>
  </si>
  <si>
    <t>Uasin Gishu County Referral Hospital</t>
  </si>
  <si>
    <t>Ziwa Sub county Hospital</t>
  </si>
  <si>
    <t>MOH2701</t>
  </si>
  <si>
    <t>MOH2702</t>
  </si>
  <si>
    <t>MOH2703</t>
  </si>
  <si>
    <t>MOH2704</t>
  </si>
  <si>
    <t>MOH2705</t>
  </si>
  <si>
    <t>MOH2706</t>
  </si>
  <si>
    <t>MOH2707</t>
  </si>
  <si>
    <t>MOH2708</t>
  </si>
  <si>
    <t>MOH2709</t>
  </si>
  <si>
    <t>MOH2710</t>
  </si>
  <si>
    <t>MOH2711</t>
  </si>
  <si>
    <t>MOH2712</t>
  </si>
  <si>
    <t>MOH2713</t>
  </si>
  <si>
    <t>MOH2714</t>
  </si>
  <si>
    <t>MOH2715</t>
  </si>
  <si>
    <t>MOH2716</t>
  </si>
  <si>
    <t>MOH2717</t>
  </si>
  <si>
    <t>MOH2718</t>
  </si>
  <si>
    <t>MOH2719</t>
  </si>
  <si>
    <t>MOH2720</t>
  </si>
  <si>
    <t>MOH2721</t>
  </si>
  <si>
    <t>MOH2722</t>
  </si>
  <si>
    <t>MOH2723</t>
  </si>
  <si>
    <t>MOH2724</t>
  </si>
  <si>
    <t>MOH2725</t>
  </si>
  <si>
    <t>MOH2726</t>
  </si>
  <si>
    <t>MOH2727</t>
  </si>
  <si>
    <t>MOH2728</t>
  </si>
  <si>
    <t>MOH2729</t>
  </si>
  <si>
    <t>MOH2730</t>
  </si>
  <si>
    <t>MOH2731</t>
  </si>
  <si>
    <t>Total Devices (Vihiga County)</t>
  </si>
  <si>
    <t>Emuhaya Sub-County Hospital</t>
  </si>
  <si>
    <t>MOH3801</t>
  </si>
  <si>
    <t>MOH3802</t>
  </si>
  <si>
    <t>Emusire Sub-County Hospital</t>
  </si>
  <si>
    <t>MOH3803</t>
  </si>
  <si>
    <t>Hamisi Sub-County Hospital</t>
  </si>
  <si>
    <t>MOH3804</t>
  </si>
  <si>
    <t>Mbale Rural Training Health Center</t>
  </si>
  <si>
    <t>MOH3805</t>
  </si>
  <si>
    <t>Sabatia Sub-County Hospital</t>
  </si>
  <si>
    <t>MOH3806</t>
  </si>
  <si>
    <t>Vihiga County Referral Hospital</t>
  </si>
  <si>
    <t>MOH3807</t>
  </si>
  <si>
    <t>Jumuia Hospital Kaimosi</t>
  </si>
  <si>
    <t>MOH3808</t>
  </si>
  <si>
    <t>MOH3809</t>
  </si>
  <si>
    <t>MOH3810</t>
  </si>
  <si>
    <t>MOH3811</t>
  </si>
  <si>
    <t>MOH3812</t>
  </si>
  <si>
    <t>MOH3813</t>
  </si>
  <si>
    <t>MOH3814</t>
  </si>
  <si>
    <t>MOH3815</t>
  </si>
  <si>
    <t>Wajir County</t>
  </si>
  <si>
    <t>Total Devices (Wajir County)</t>
  </si>
  <si>
    <t>(Abakore, Buna, Bute, Dadajabula, Eldas, Griftu, Habaswein, Khorof Harar, Leheley, Tarbaj)</t>
  </si>
  <si>
    <t>Abakore Sub District Hospital</t>
  </si>
  <si>
    <t>Buna Sub County Hospital</t>
  </si>
  <si>
    <t>Bute Sub County Hospital</t>
  </si>
  <si>
    <t>Dadajabula Sub District Hospital</t>
  </si>
  <si>
    <t>Eldas Sub County Hospital</t>
  </si>
  <si>
    <t>Griftu Sub County Hospital</t>
  </si>
  <si>
    <t>Habaswein Sub County Hospital</t>
  </si>
  <si>
    <t>Khorof Harar Sub-District Hospital</t>
  </si>
  <si>
    <t>Leheley Sub County Hospital</t>
  </si>
  <si>
    <t>Tarbaj Sub County Hospital</t>
  </si>
  <si>
    <t>Wajir County Referral Hospital</t>
  </si>
  <si>
    <t>MOH801</t>
  </si>
  <si>
    <t>MOH802</t>
  </si>
  <si>
    <t>MOH803</t>
  </si>
  <si>
    <t>MOH804</t>
  </si>
  <si>
    <t>MOH805</t>
  </si>
  <si>
    <t>MOH806</t>
  </si>
  <si>
    <t>MOH807</t>
  </si>
  <si>
    <t>MOH808</t>
  </si>
  <si>
    <t>MOH809</t>
  </si>
  <si>
    <t>MOH810</t>
  </si>
  <si>
    <t>MOH811</t>
  </si>
  <si>
    <t>MOH812</t>
  </si>
  <si>
    <t>MOH813</t>
  </si>
  <si>
    <t>MOH814</t>
  </si>
  <si>
    <t>MOH815</t>
  </si>
  <si>
    <t>MOH816</t>
  </si>
  <si>
    <t>MOH817</t>
  </si>
  <si>
    <t>MOH818</t>
  </si>
  <si>
    <t>MOH819</t>
  </si>
  <si>
    <t>MOH820</t>
  </si>
  <si>
    <t>MOH821</t>
  </si>
  <si>
    <t>MOH822</t>
  </si>
  <si>
    <t>MOH823</t>
  </si>
  <si>
    <t>MOH824</t>
  </si>
  <si>
    <t>MOH825</t>
  </si>
  <si>
    <t>MOH826</t>
  </si>
  <si>
    <t>MOH827</t>
  </si>
  <si>
    <t>MOH828</t>
  </si>
  <si>
    <t>MOH829</t>
  </si>
  <si>
    <t>MOH830</t>
  </si>
  <si>
    <t>MOH831</t>
  </si>
  <si>
    <t>MOH832</t>
  </si>
  <si>
    <t>MOH833</t>
  </si>
  <si>
    <t>MOH834</t>
  </si>
  <si>
    <t>MOH835</t>
  </si>
  <si>
    <t>West Pokot County</t>
  </si>
  <si>
    <t>Total Devices (West Pokot County)</t>
  </si>
  <si>
    <t>Chepareria Sub County Hospital</t>
  </si>
  <si>
    <t>Kacheliba Sub County Hospital</t>
  </si>
  <si>
    <t>Kapenguria County Referral Hospital</t>
  </si>
  <si>
    <t>MOH2401</t>
  </si>
  <si>
    <t>MOH2402</t>
  </si>
  <si>
    <t>MOH2403</t>
  </si>
  <si>
    <t>MOH2404</t>
  </si>
  <si>
    <t>MOH2405</t>
  </si>
  <si>
    <t>MOH2406</t>
  </si>
  <si>
    <t>MOH2407</t>
  </si>
  <si>
    <t>MOH2408</t>
  </si>
  <si>
    <t>MOH2409</t>
  </si>
  <si>
    <t>MOH2410</t>
  </si>
  <si>
    <t>MOH2411</t>
  </si>
  <si>
    <t>MOH2412</t>
  </si>
  <si>
    <t>MOH2413</t>
  </si>
  <si>
    <t>MOH2414</t>
  </si>
  <si>
    <t>MOH2415</t>
  </si>
  <si>
    <t>MOH2416</t>
  </si>
  <si>
    <t>MOH2417</t>
  </si>
  <si>
    <t>facility</t>
  </si>
  <si>
    <t>level of care</t>
  </si>
  <si>
    <t>allocation</t>
  </si>
  <si>
    <t>sub county hospital</t>
  </si>
  <si>
    <t>county hospital</t>
  </si>
  <si>
    <t>Homa Bay County</t>
  </si>
  <si>
    <t>Total Devices (Homa Bay County)</t>
  </si>
  <si>
    <t>(Kabondo, Kandiege, Marindi, Mbita, Miriu, Ndhiwa, Nyandhiwa, Ober, Ogongo, Oyugis, Pala Koguta, Rachuonyo North, Rangwe, Suba, Tom Mboya Memorial)</t>
  </si>
  <si>
    <t>(Kendu Adventist Hospital)</t>
  </si>
  <si>
    <t>Kabondo Sub-County Hospital</t>
  </si>
  <si>
    <t>Kandiege Sub-County Hospital</t>
  </si>
  <si>
    <t>Marindi Sub County Hospital</t>
  </si>
  <si>
    <t>Mbita Sub-County Hospital</t>
  </si>
  <si>
    <t>Miriu Sub-County Hospital</t>
  </si>
  <si>
    <t>Ndhiwa Sub-County Hospital</t>
  </si>
  <si>
    <t>Nyandhiwa Sub-County Hospital</t>
  </si>
  <si>
    <t>Ober Sub-County Hospital</t>
  </si>
  <si>
    <t>Ogongo Sub-County Hospital</t>
  </si>
  <si>
    <t>Oyugis Sub-County Hospital</t>
  </si>
  <si>
    <t>Pala Koguta Sub-County Hospital</t>
  </si>
  <si>
    <t>Rachuonyo North Sub-County Hospital</t>
  </si>
  <si>
    <t>Rangwe Sub-County Hospital</t>
  </si>
  <si>
    <t>Suba Sub-County Hospital</t>
  </si>
  <si>
    <t>Tom Mboya Memorial Sub-County Hospital</t>
  </si>
  <si>
    <t>MOH43HM1</t>
  </si>
  <si>
    <t>MOH43HM2</t>
  </si>
  <si>
    <t>MOH43HM3</t>
  </si>
  <si>
    <t>MOH43HM4</t>
  </si>
  <si>
    <t>MOH43HM5</t>
  </si>
  <si>
    <t>MOH43KB1</t>
  </si>
  <si>
    <t>MOH43KB2</t>
  </si>
  <si>
    <t>MOH43KB3</t>
  </si>
  <si>
    <t>MOH43KN1</t>
  </si>
  <si>
    <t>MOH43KN2</t>
  </si>
  <si>
    <t>MOH43KN3</t>
  </si>
  <si>
    <t>MOH43MR1</t>
  </si>
  <si>
    <t>MOH43MR2</t>
  </si>
  <si>
    <t>MOH43MR3</t>
  </si>
  <si>
    <t>MOH43MB1</t>
  </si>
  <si>
    <t>MOH43MB2</t>
  </si>
  <si>
    <t>MOH43MB3</t>
  </si>
  <si>
    <t>MOH43MU1</t>
  </si>
  <si>
    <t>MOH43MU2</t>
  </si>
  <si>
    <t>MOH43MU3</t>
  </si>
  <si>
    <t>MOH43ND1</t>
  </si>
  <si>
    <t>MOH43ND2</t>
  </si>
  <si>
    <t>MOH43ND3</t>
  </si>
  <si>
    <t>MOH43NY1</t>
  </si>
  <si>
    <t>MOH43NY2</t>
  </si>
  <si>
    <t>MOH43NY3</t>
  </si>
  <si>
    <t>MOH43OB1</t>
  </si>
  <si>
    <t>MOH43OB2</t>
  </si>
  <si>
    <t>MOH43OB3</t>
  </si>
  <si>
    <t>MOH43OG1</t>
  </si>
  <si>
    <t>MOH43OG2</t>
  </si>
  <si>
    <t>MOH43OG3</t>
  </si>
  <si>
    <t>MOH43OY1</t>
  </si>
  <si>
    <t>MOH43OY2</t>
  </si>
  <si>
    <t>MOH43OY3</t>
  </si>
  <si>
    <t>MOH43PL1</t>
  </si>
  <si>
    <t>MOH43PL2</t>
  </si>
  <si>
    <t>MOH43PL3</t>
  </si>
  <si>
    <t>MOH43RC1</t>
  </si>
  <si>
    <t>MOH43RC2</t>
  </si>
  <si>
    <t>MOH43RC3</t>
  </si>
  <si>
    <t>MOH43RN1</t>
  </si>
  <si>
    <t>MOH43RN2</t>
  </si>
  <si>
    <t>MOH43RN3</t>
  </si>
  <si>
    <t>MOH43SB1</t>
  </si>
  <si>
    <t>MOH43SB2</t>
  </si>
  <si>
    <t>MOH43SB3</t>
  </si>
  <si>
    <t>MOH43TM1</t>
  </si>
  <si>
    <t>MOH43TM2</t>
  </si>
  <si>
    <t>MOH43TM3</t>
  </si>
  <si>
    <t>MOH43KA1</t>
  </si>
  <si>
    <t>MOH43KA2</t>
  </si>
  <si>
    <t>MOH43KA3</t>
  </si>
  <si>
    <t>county</t>
  </si>
  <si>
    <t>county hospial</t>
  </si>
  <si>
    <t>Tawa Sub County Hospial</t>
  </si>
  <si>
    <t>FACILITY</t>
  </si>
  <si>
    <t>COUNTY</t>
  </si>
  <si>
    <t xml:space="preserve">Category </t>
  </si>
  <si>
    <t xml:space="preserve">Jumuia Hospital Huruma </t>
  </si>
  <si>
    <t xml:space="preserve">Nairobi </t>
  </si>
  <si>
    <t xml:space="preserve">Kikuyu Mission Hospital </t>
  </si>
  <si>
    <t xml:space="preserve">Kiambu </t>
  </si>
  <si>
    <t xml:space="preserve">Jumuia Hospital Kaimosi </t>
  </si>
  <si>
    <t xml:space="preserve">Vihiga </t>
  </si>
  <si>
    <t xml:space="preserve">Kendu Adventist Hospital </t>
  </si>
  <si>
    <t xml:space="preserve">Homabay </t>
  </si>
  <si>
    <t xml:space="preserve">Christamarianne Mission Hospital </t>
  </si>
  <si>
    <t xml:space="preserve">Kisii </t>
  </si>
  <si>
    <t xml:space="preserve">AIC Litein Hospital </t>
  </si>
  <si>
    <t xml:space="preserve">Kericho </t>
  </si>
  <si>
    <t xml:space="preserve">Kaplong Mission Hospital </t>
  </si>
  <si>
    <t xml:space="preserve">Bomet </t>
  </si>
  <si>
    <t xml:space="preserve">Pope Benedict Hospital </t>
  </si>
  <si>
    <t xml:space="preserve">PCEA Chogoria </t>
  </si>
  <si>
    <t xml:space="preserve">Tharaka  Nithi </t>
  </si>
  <si>
    <t>Facility Name</t>
  </si>
  <si>
    <t>Facility Type</t>
  </si>
  <si>
    <t>NBU Availability</t>
  </si>
  <si>
    <t>Paediatric Ward</t>
  </si>
  <si>
    <t>Maternity</t>
  </si>
  <si>
    <t>User asked for a nested IF formula for D2 to classify facility type from text in C2: 'County Referral' -&gt; County Hospital, 'Sub County' -&gt; Sub County Hospital, 'Health Centre' -&gt; Health Centre.</t>
  </si>
  <si>
    <t>Wrote nested IF/SEARCH formula to D2 and filled down to D279</t>
  </si>
  <si>
    <t>Formula: =IF(ISNUMBER(SEARCH("sub county",C2)),"Sub County Hospital",IF(ISNUMBER(SEARCH("county referral",C2)),"County Hospital",IF(ISNUMBER(SEARCH("health centre",C2)),"Health Centre",""))). Checked 'sub county' before 'county referral' since both contain 'county'; used SEARCH for case-insensitivity.</t>
  </si>
  <si>
    <t>Formula filled D2:D279. Found data-quality gaps causing blank results: typos in C16/C18 ('Sub ounty'/'Sub Conty'), hyphenated 'Sub-County' in C270/271/273/278, and 'Health Center' (US spelling) in C272. Flagged to user, awaiting decision on whether to widen formula or leave for manual fix.</t>
  </si>
  <si>
    <t>User asked to also match 'sub-county' (hyphen) as Sub County, 'health center' (US spelling) as Health Centre, and 'mission' in the name as FBO.</t>
  </si>
  <si>
    <t>Updated D2 nested IF/SEARCH formula and refilled D2:D279</t>
  </si>
  <si>
    <t>Formula: =IF(OR(ISNUMBER(SEARCH("sub county",C2)),ISNUMBER(SEARCH("sub-county",C2))),"Sub County Hospital",IF(ISNUMBER(SEARCH("county referral",C2)),"County Hospital",IF(OR(ISNUMBER(SEARCH("health centre",C2)),ISNUMBER(SEARCH("health center",C2))),"Health Centre",IF(ISNUMBER(SEARCH("mission",C2)),"FBO","")))). Added OR() branches for spelling variants and a new mission-&gt;FBO branch.</t>
  </si>
  <si>
    <t>Verified D14 now FBO, D270/271/273/278 now Sub County Hospital, D272 now Health Centre. D16/D18 remain blank due to genuine typos in source text ('Sub ounty', 'Sub Conty') - flagged for manual fix.</t>
  </si>
  <si>
    <t>Level of care</t>
  </si>
  <si>
    <t>Department available - General OPD</t>
  </si>
  <si>
    <t>Department available - Paediatric ward</t>
  </si>
  <si>
    <t>Department available - NBU</t>
  </si>
  <si>
    <t>Department available - Labour/Maternity</t>
  </si>
  <si>
    <t>Department available - Female ward</t>
  </si>
  <si>
    <t>Department available - Male ward</t>
  </si>
  <si>
    <t>Department available - Theatre</t>
  </si>
  <si>
    <t>Department available - Surgical ward</t>
  </si>
  <si>
    <t>Department available - Casualty</t>
  </si>
  <si>
    <t>Department available - Renal ward</t>
  </si>
  <si>
    <t>Department available - MCH</t>
  </si>
  <si>
    <t>Department available - ICU</t>
  </si>
  <si>
    <t>Department available - Pharmacy</t>
  </si>
  <si>
    <t>Department available - HDU</t>
  </si>
  <si>
    <t>Department available - General inpatient</t>
  </si>
  <si>
    <t>Department available - Newborn Intensive Care Unit (NICU)</t>
  </si>
  <si>
    <t>Department available - Paediatric Intensive Care Unit (PICU)</t>
  </si>
  <si>
    <t>Sub county Hospital</t>
  </si>
  <si>
    <t>AIC Litein Mission Hospital</t>
  </si>
  <si>
    <t>Ainamoi Health Centre</t>
  </si>
  <si>
    <t>Health centre</t>
  </si>
  <si>
    <t>Bahati Hospital</t>
  </si>
  <si>
    <t>Bamboo Health Center</t>
  </si>
  <si>
    <t>Baricho Sub county Hospital</t>
  </si>
  <si>
    <t>County hospital</t>
  </si>
  <si>
    <t>Barwesa Health Centre</t>
  </si>
  <si>
    <t>Bethlehem Home Hospital</t>
  </si>
  <si>
    <t>Private Hospital</t>
  </si>
  <si>
    <t>Bishop Kioko Catholic Hospital</t>
  </si>
  <si>
    <t>Bissil Health Center</t>
  </si>
  <si>
    <t>Bughuta Health Center</t>
  </si>
  <si>
    <t>Bura Model Health Centre</t>
  </si>
  <si>
    <t>Chebangang Health Centre</t>
  </si>
  <si>
    <t>Cheborgei  Health Centre</t>
  </si>
  <si>
    <t>Cheborwa Health Centre</t>
  </si>
  <si>
    <t>Chesongoch Mission Hospital</t>
  </si>
  <si>
    <t>Chogoria (PCEA) Hospital</t>
  </si>
  <si>
    <t>Christamarianne  Hospital</t>
  </si>
  <si>
    <t xml:space="preserve">Coast General Teaching &amp; Referral Hospital -Utange </t>
  </si>
  <si>
    <t>Consolata Kyeni Hospital</t>
  </si>
  <si>
    <t>Consolata Mission Hospital (Mathari)</t>
  </si>
  <si>
    <t>Dallas Health Centre</t>
  </si>
  <si>
    <t>Dandora II Hospital</t>
  </si>
  <si>
    <t>Diani Health Centre</t>
  </si>
  <si>
    <t>Embakasi Health Center</t>
  </si>
  <si>
    <t>Embu County Referral Hospital</t>
  </si>
  <si>
    <t>Emurua Dikirr Health Centre</t>
  </si>
  <si>
    <t>Endarasha Rural Health Centre</t>
  </si>
  <si>
    <t>Entarara health centre</t>
  </si>
  <si>
    <t>Gategi Sub County  Hospital</t>
  </si>
  <si>
    <t>Gathigiriri Health Center</t>
  </si>
  <si>
    <t>Gatundu Sub County  Hospital</t>
  </si>
  <si>
    <t>Gede Sub County hospital</t>
  </si>
  <si>
    <t>Gesima Health Center</t>
  </si>
  <si>
    <t>Getare Health Center</t>
  </si>
  <si>
    <t>Giachanjiru Mission Hospital</t>
  </si>
  <si>
    <t>Giaki Sub county hospital</t>
  </si>
  <si>
    <t>Githunguri  Health Centre</t>
  </si>
  <si>
    <t>Gitwamba health centre</t>
  </si>
  <si>
    <t>Gucha Sub County Hospital</t>
  </si>
  <si>
    <t>Holy Family Nangina Mission Hospital</t>
  </si>
  <si>
    <t>Ibacho sub county hospital</t>
  </si>
  <si>
    <t>ICFM Dreamland Mission Hospital</t>
  </si>
  <si>
    <t>Igegania Sub County Hospital</t>
  </si>
  <si>
    <t>Isecha Sub County Hospital</t>
  </si>
  <si>
    <t>Ishiara Sub County Hospital</t>
  </si>
  <si>
    <t>Isinya Health Center</t>
  </si>
  <si>
    <t>Ithanga Health Centre</t>
  </si>
  <si>
    <t>Kabare Health Center</t>
  </si>
  <si>
    <t>Kabianga Health Centre</t>
  </si>
  <si>
    <t>Kabula Health Centre</t>
  </si>
  <si>
    <t>Kagumo Health Centre</t>
  </si>
  <si>
    <t>Kairuri Sub County Hospital</t>
  </si>
  <si>
    <t>Kambu sub county hospital</t>
  </si>
  <si>
    <t>Kandara  Sub County  Hospital</t>
  </si>
  <si>
    <t>Kangundo  sub county hospital</t>
  </si>
  <si>
    <t>Kapcherop Health Centre</t>
  </si>
  <si>
    <t>Kapkangani  Health Centre</t>
  </si>
  <si>
    <t>Kaplong Hospital</t>
  </si>
  <si>
    <t>Kapsowar (AIC) Hospital</t>
  </si>
  <si>
    <t>Karatu Sub County Hospital</t>
  </si>
  <si>
    <t>Kariobangi North Health Center</t>
  </si>
  <si>
    <t>Karuri Sub County Hospital</t>
  </si>
  <si>
    <t>Karurumo RHTC</t>
  </si>
  <si>
    <t>Kayole II hospital</t>
  </si>
  <si>
    <t>Kehancha  sub county hospital</t>
  </si>
  <si>
    <t>Kendu Sub County Hospital</t>
  </si>
  <si>
    <t>Kenyenya Sub County Hospital</t>
  </si>
  <si>
    <t>Kiandutu Health Center</t>
  </si>
  <si>
    <t>Kianjokoma Sub County Hospital</t>
  </si>
  <si>
    <t>Kibugua health centre</t>
  </si>
  <si>
    <t>Kibunga Sub County Hospital</t>
  </si>
  <si>
    <t>Kigumo sub County Hospital</t>
  </si>
  <si>
    <t>Kigumo Sub County Hospital 2</t>
  </si>
  <si>
    <t>Kikuyu (PCEA) Hospital</t>
  </si>
  <si>
    <t>Kilungu sub county Hospital</t>
  </si>
  <si>
    <t>Kiria-Ini Mission Hospital</t>
  </si>
  <si>
    <t>Kiritiri Health Center</t>
  </si>
  <si>
    <t>Kirwara  Sub District Hospital</t>
  </si>
  <si>
    <t>Kithimu Health Centre</t>
  </si>
  <si>
    <t>Kivaa Health Centre</t>
  </si>
  <si>
    <t>Koiwa Health Centre</t>
  </si>
  <si>
    <t>Kuikui Health Centre</t>
  </si>
  <si>
    <t>Kuresoi Health Centre</t>
  </si>
  <si>
    <t>Kyeleni Health centre</t>
  </si>
  <si>
    <t>Lang'ata Sub County Hospital</t>
  </si>
  <si>
    <t>Lari Sub County Hospital</t>
  </si>
  <si>
    <t>Lessos Health Centre</t>
  </si>
  <si>
    <t>Lugulu Friends Mission Hospital</t>
  </si>
  <si>
    <t>Lusigetti Sub County Hospital</t>
  </si>
  <si>
    <t>Machakos  County Referral Hospital</t>
  </si>
  <si>
    <t>Magunga Sub-County Hospital</t>
  </si>
  <si>
    <t>Makadara Hospital</t>
  </si>
  <si>
    <t>Mama Lucy   County Referral Hospital</t>
  </si>
  <si>
    <t>Mama Margaret Kenyatta Hospital (Korogocho)*</t>
  </si>
  <si>
    <t>Mama Rachael Hospital</t>
  </si>
  <si>
    <t>Manunga Health Center</t>
  </si>
  <si>
    <t>Marafa Sub County hospital</t>
  </si>
  <si>
    <t>Maragua  Sub County Hospital</t>
  </si>
  <si>
    <t>Marindi Sub-County Hospital</t>
  </si>
  <si>
    <t>Maseno Mission Hospital</t>
  </si>
  <si>
    <t>Masimba Sub County Hospital</t>
  </si>
  <si>
    <t>Masinga  sub county hospital</t>
  </si>
  <si>
    <t>Matasia Health Center</t>
  </si>
  <si>
    <t>Mathare North  Hospital</t>
  </si>
  <si>
    <t>Matunda Sub County Hospital 2</t>
  </si>
  <si>
    <t>Matuu  sub county hospital</t>
  </si>
  <si>
    <t>Maua Methodist Hospital</t>
  </si>
  <si>
    <t>Mbeere Sub County Hospital</t>
  </si>
  <si>
    <t>Mbooni  Sub County Hospital</t>
  </si>
  <si>
    <t>Mechimeru Health Centre</t>
  </si>
  <si>
    <t>Mercy Mission Hospital</t>
  </si>
  <si>
    <t>Mghange Dawida Health Centre</t>
  </si>
  <si>
    <t>Mirangine Health Center</t>
  </si>
  <si>
    <t>Mirugi Kariuki sub county hospital</t>
  </si>
  <si>
    <t>Misesi Sub County Hospital</t>
  </si>
  <si>
    <t>Mkongani Health center</t>
  </si>
  <si>
    <t>Mlaleo Health Centre</t>
  </si>
  <si>
    <t>Mnyenzeni Health center</t>
  </si>
  <si>
    <t xml:space="preserve"> </t>
  </si>
  <si>
    <t>Mochongoi Health Centre</t>
  </si>
  <si>
    <t>Momoniat Health Centre</t>
  </si>
  <si>
    <t>Mtito Andei Sub Count Hospital</t>
  </si>
  <si>
    <t>Mtwapa Sub County Hospital</t>
  </si>
  <si>
    <t>Muhuru Sub County Hospital</t>
  </si>
  <si>
    <t>Mukumu Hospital</t>
  </si>
  <si>
    <t>Mukuru kwa Njenga Hospital</t>
  </si>
  <si>
    <t>Mukuyuni  Sub County Hospital</t>
  </si>
  <si>
    <t>Muranga  County Referral Hospital</t>
  </si>
  <si>
    <t>Muthale Mission Hospital</t>
  </si>
  <si>
    <t>Mvita Health Centre</t>
  </si>
  <si>
    <t>Mwala  sub county hospital</t>
  </si>
  <si>
    <t>Mwea Mission (Our Lady of Lourdes) Hospital</t>
  </si>
  <si>
    <t>Nairagie Enkare Health Centre</t>
  </si>
  <si>
    <t>Nambale Health Centre</t>
  </si>
  <si>
    <t>Naromoru Health Centre</t>
  </si>
  <si>
    <t>Ndaragwa  Health Center</t>
  </si>
  <si>
    <t>Ndovu Health Centre</t>
  </si>
  <si>
    <t>Nduru Sub CountyHospital</t>
  </si>
  <si>
    <t>Nembure Health Center</t>
  </si>
  <si>
    <t>Ngara Health Center</t>
  </si>
  <si>
    <t>Ngolo Health Centre</t>
  </si>
  <si>
    <t>Ng'undu Kamulu Health Centre</t>
  </si>
  <si>
    <t>Njiru Hospital</t>
  </si>
  <si>
    <t>Njukini health centre</t>
  </si>
  <si>
    <t>Nyabondo Mission Hospital</t>
  </si>
  <si>
    <t>Nyacheki Sub County Hospital</t>
  </si>
  <si>
    <t>Nyahera Sub-County Hospital</t>
  </si>
  <si>
    <t>Nyamache Sub County Hospital</t>
  </si>
  <si>
    <t>Nyamagundo Sub County Hospital</t>
  </si>
  <si>
    <t>Nyamarimba  Sub county hospital</t>
  </si>
  <si>
    <t>Nyamasibi Sub-County Hospital</t>
  </si>
  <si>
    <t>Nyangande Sub County Hospital</t>
  </si>
  <si>
    <t>Nyathuna Sub County Hospital</t>
  </si>
  <si>
    <t>Nyeri Town Health Centre</t>
  </si>
  <si>
    <t>Ober Kamoth Sub County Hospital</t>
  </si>
  <si>
    <t>Ogongo Sub County Hospital</t>
  </si>
  <si>
    <t>Ogwedhi Sub County Hospital</t>
  </si>
  <si>
    <t>Oresi Sub County Hospital</t>
  </si>
  <si>
    <t>Othaya County Referal Hospital Hospital</t>
  </si>
  <si>
    <t>Our Lady of Lourdes Mutomo Hospital</t>
  </si>
  <si>
    <t>Oyani Sub County Hospital</t>
  </si>
  <si>
    <t>Reuben Health Centre</t>
  </si>
  <si>
    <t>Riana Health Centre</t>
  </si>
  <si>
    <t>Riruta Health Center</t>
  </si>
  <si>
    <t>Ruiru Sub County Hospital</t>
  </si>
  <si>
    <t>Saba Saba Health Centre</t>
  </si>
  <si>
    <t>Shamata Health Center</t>
  </si>
  <si>
    <t>Shinyalu Model Health Centre</t>
  </si>
  <si>
    <t>Sondu   Sub - County Hospital</t>
  </si>
  <si>
    <t>Sotik Health centre</t>
  </si>
  <si>
    <t>St Luke's (ACK) Nursing home Kaloleni</t>
  </si>
  <si>
    <t>St Mary's Hospital</t>
  </si>
  <si>
    <t>St Mary's Mission Hospital-Mumias</t>
  </si>
  <si>
    <t>St Monica Hospital</t>
  </si>
  <si>
    <t>St Mulumba Mission Hospital</t>
  </si>
  <si>
    <t>Suba North Sub-County Hospital</t>
  </si>
  <si>
    <t>Sultan-Hamud Sub County Hospital</t>
  </si>
  <si>
    <t>Tabaka Mission Hospital</t>
  </si>
  <si>
    <t>Taveta sub county hospital</t>
  </si>
  <si>
    <t>Tawfiq Muslim Hospital</t>
  </si>
  <si>
    <t>Tenges Health Center</t>
  </si>
  <si>
    <t>Tenwek Mission Hospital</t>
  </si>
  <si>
    <t>Thika County Referral Hospital</t>
  </si>
  <si>
    <t>Tinga Health Center</t>
  </si>
  <si>
    <t>Tulwet Sub County Hospital</t>
  </si>
  <si>
    <t>Tunyai Health Centre</t>
  </si>
  <si>
    <t>Uthiru Muthua Health Centre</t>
  </si>
  <si>
    <t>Vitengeni Health Centre</t>
  </si>
  <si>
    <t>Waithaka Health Centre</t>
  </si>
  <si>
    <t>Wamagana Health Centre</t>
  </si>
  <si>
    <t>Westlands Hospital</t>
  </si>
  <si>
    <t>Ziwa  Sub county Hospital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</si>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</sst>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53" x14ac:knownFonts="1">
    <font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15"/>
      <color rgb="FF0E2841"/>
      <name val="Aptos Display"/>
      <family val="2"/>
      <charset val="1"/>
    </font>
    <font>
      <b/>
      <sz val="11"/>
      <color rgb="FF000000"/>
      <name val="Aptos Narrow"/>
      <family val="2"/>
      <charset val="1"/>
    </font>
    <font>
      <b/>
      <sz val="14"/>
      <color rgb="FFFFFFFF"/>
      <name val="Aptos Narrow"/>
      <family val="2"/>
      <charset val="1"/>
    </font>
    <font>
      <b/>
      <u/>
      <sz val="11"/>
      <color rgb="FF000000"/>
      <name val="Aptos Narrow"/>
      <family val="2"/>
      <charset val="1"/>
    </font>
    <font>
      <b/>
      <sz val="9"/>
      <color rgb="FFFFFFFF"/>
      <name val="Aptos"/>
      <family val="2"/>
      <charset val="1"/>
    </font>
    <font>
      <sz val="9"/>
      <color rgb="FF000000"/>
      <name val="Aptos"/>
      <family val="2"/>
      <charset val="1"/>
    </font>
    <font>
      <b/>
      <sz val="9"/>
      <color rgb="FF000000"/>
      <name val="Aptos"/>
      <family val="2"/>
      <charset val="1"/>
    </font>
    <font>
      <i/>
      <sz val="8"/>
      <color rgb="FF808080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sz val="9"/>
      <color theme="1"/>
      <name val="Aptos"/>
      <family val="2"/>
      <charset val="1"/>
    </font>
    <font>
      <sz val="11"/>
      <color rgb="FF3F3F76"/>
      <name val="Aptos Display"/>
      <family val="2"/>
      <charset val="1"/>
    </font>
    <font>
      <sz val="9"/>
      <color theme="1"/>
      <name val="Aptos Narrow"/>
      <family val="2"/>
      <charset val="1"/>
    </font>
    <font>
      <b/>
      <sz val="9"/>
      <color theme="1"/>
      <name val="Aptos"/>
      <family val="2"/>
      <charset val="1"/>
    </font>
    <font>
      <b/>
      <sz val="9"/>
      <color rgb="FFFFFFFF"/>
      <name val="Aptos"/>
      <family val="2"/>
    </font>
    <font>
      <sz val="9"/>
      <name val="Aptos"/>
      <family val="2"/>
    </font>
    <font>
      <b/>
      <sz val="9"/>
      <name val="Aptos"/>
      <family val="2"/>
    </font>
    <font>
      <b/>
      <sz val="18"/>
      <color rgb="FF0E2841"/>
      <name val="Aptos Display"/>
      <family val="2"/>
      <charset val="1"/>
    </font>
    <font>
      <b/>
      <sz val="13"/>
      <color rgb="FF0E2841"/>
      <name val="Aptos Narrow"/>
      <family val="2"/>
      <charset val="1"/>
    </font>
    <font>
      <b/>
      <u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9"/>
      <color rgb="FF808080"/>
      <name val="Aptos Narrow"/>
      <family val="2"/>
      <charset val="1"/>
    </font>
    <font>
      <sz val="10"/>
      <color rgb="FF000000"/>
      <name val="Aptos Narrow"/>
      <family val="2"/>
      <charset val="1"/>
    </font>
    <font>
      <b/>
      <sz val="9"/>
      <color rgb="FF000000"/>
      <name val="Aptos Narrow"/>
      <family val="2"/>
      <charset val="1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0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/>
      <sz val="14"/>
      <color rgb="FF00000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i/>
      <sz val="8"/>
      <color rgb="FFC00000"/>
      <name val="Aptos Narrow"/>
      <family val="2"/>
      <charset val="1"/>
    </font>
    <font>
      <b/>
      <i/>
      <sz val="9"/>
      <color rgb="FF000000"/>
      <name val="Aptos"/>
      <family val="2"/>
      <charset val="1"/>
    </font>
    <font>
      <b/>
      <i/>
      <sz val="10"/>
      <color theme="1"/>
      <name val="Aptos Narrow"/>
      <family val="2"/>
      <charset val="1"/>
    </font>
    <font>
      <b/>
      <sz val="10"/>
      <color rgb="FF008000"/>
      <name val="Aptos Narrow"/>
      <family val="2"/>
      <charset val="1"/>
    </font>
    <font>
      <b/>
      <sz val="15"/>
      <color theme="3"/>
      <name val="Aptos Display"/>
      <family val="2"/>
      <charset val="1"/>
    </font>
    <font>
      <b/>
      <sz val="14"/>
      <color theme="0"/>
      <name val="Aptos Narrow"/>
      <family val="2"/>
      <charset val="1"/>
    </font>
    <font>
      <b/>
      <sz val="12"/>
      <color theme="0"/>
      <name val="Aptos Narrow"/>
      <family val="2"/>
      <charset val="1"/>
    </font>
    <font>
      <sz val="9"/>
      <color rgb="FF000000"/>
      <name val="Aptos"/>
      <family val="2"/>
    </font>
    <font>
      <b/>
      <sz val="18"/>
      <color theme="3"/>
      <name val="Aptos Display"/>
      <family val="2"/>
      <charset val="1"/>
    </font>
    <font>
      <sz val="18"/>
      <color theme="3"/>
      <name val="Aptos Display"/>
      <family val="2"/>
      <charset val="1"/>
    </font>
    <font>
      <b/>
      <sz val="13"/>
      <color theme="3"/>
      <name val="Aptos Narrow"/>
      <family val="2"/>
      <charset val="1"/>
    </font>
    <font>
      <b/>
      <sz val="11"/>
      <color rgb="FF000000"/>
      <name val="Aptos"/>
      <family val="2"/>
      <charset val="1"/>
    </font>
    <font>
      <sz val="1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9"/>
      <color rgb="FFFFFFFF"/>
      <name val="Aptos"/>
      <family val="2"/>
    </font>
    <font>
      <sz val="10"/>
      <color theme="1"/>
      <name val="Aptos"/>
      <family val="2"/>
    </font>
    <font>
      <sz val="18"/>
      <color theme="1"/>
      <name val="Aptos Display"/>
      <family val="2"/>
      <scheme val="major"/>
    </font>
    <font>
      <b/>
      <sz val="11"/>
      <color theme="3"/>
      <name val="Aptos"/>
      <family val="2"/>
    </font>
    <font>
      <b/>
      <sz val="14"/>
      <color theme="0"/>
      <name val="Aptos"/>
      <family val="2"/>
    </font>
    <font>
      <b/>
      <sz val="10"/>
      <color theme="1"/>
      <name val="Aptos"/>
      <family val="2"/>
    </font>
    <font>
      <b/>
      <sz val="9"/>
      <color theme="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  <bgColor rgb="FFFFF2CC"/>
      </patternFill>
    </fill>
    <fill>
      <patternFill patternType="solid">
        <fgColor rgb="FFFFFFCC"/>
        <bgColor rgb="FFFFF2CC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0E284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FF0000"/>
      </patternFill>
    </fill>
    <fill>
      <patternFill patternType="solid">
        <fgColor rgb="FFFFF2CC"/>
        <bgColor rgb="FFFFFFCC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89318521683401"/>
      </bottom>
      <diagonal/>
    </border>
    <border>
      <left/>
      <right/>
      <top style="thick">
        <color rgb="FF15608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ck">
        <color rgb="FF64BEE6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64BEE6"/>
      </top>
      <bottom/>
      <diagonal/>
    </border>
    <border>
      <left/>
      <right/>
      <top style="thin">
        <color rgb="FF156082"/>
      </top>
      <bottom/>
      <diagonal/>
    </border>
    <border>
      <left/>
      <right/>
      <top/>
      <bottom style="thin">
        <color rgb="FF64BEE6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theme="2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5"/>
      </left>
      <right style="thin">
        <color theme="0" tint="-0.14996795556505021"/>
      </right>
      <top style="thin">
        <color theme="5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5"/>
      </top>
      <bottom/>
      <diagonal/>
    </border>
    <border>
      <left style="thin">
        <color theme="0" tint="-0.14996795556505021"/>
      </left>
      <right style="thin">
        <color theme="5"/>
      </right>
      <top style="thin">
        <color theme="5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5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5"/>
      </right>
      <top/>
      <bottom/>
      <diagonal/>
    </border>
  </borders>
  <cellStyleXfs count="18">
    <xf numFmtId="0" fontId="0" fillId="0" borderId="0"/>
    <xf numFmtId="0" fontId="12" fillId="2" borderId="1"/>
    <xf numFmtId="0" fontId="45" fillId="3" borderId="2"/>
    <xf numFmtId="0" fontId="36" fillId="0" borderId="3"/>
    <xf numFmtId="0" fontId="41" fillId="0" borderId="0"/>
    <xf numFmtId="0" fontId="42" fillId="0" borderId="4"/>
    <xf numFmtId="0" fontId="48" fillId="0" borderId="36">
      <alignment horizontal="center" vertical="center"/>
    </xf>
    <xf numFmtId="0" fontId="49" fillId="0" borderId="0">
      <alignment horizontal="left"/>
    </xf>
    <xf numFmtId="164" fontId="50" fillId="10" borderId="0">
      <alignment horizontal="center" vertical="center"/>
    </xf>
    <xf numFmtId="0" fontId="49" fillId="0" borderId="37">
      <alignment horizontal="left"/>
    </xf>
    <xf numFmtId="0" fontId="51" fillId="11" borderId="38"/>
    <xf numFmtId="0" fontId="51" fillId="11" borderId="38"/>
    <xf numFmtId="0" fontId="52" fillId="12" borderId="40" applyBorder="0">
      <alignment horizontal="center" vertical="center" wrapText="1"/>
    </xf>
    <xf numFmtId="0" fontId="47" fillId="0" borderId="39" applyBorder="0">
      <alignment horizontal="left" vertical="center" wrapText="1"/>
    </xf>
    <xf numFmtId="0" fontId="47" fillId="0" borderId="39" applyBorder="0">
      <alignment horizontal="center" vertical="center" wrapText="1"/>
    </xf>
    <xf numFmtId="0" fontId="51" fillId="13" borderId="38" applyAlignment="0">
      <alignment horizontal="center" vertical="center" wrapText="1"/>
    </xf>
    <xf numFmtId="0" fontId="26" fillId="11" borderId="38"/>
    <xf numFmtId="1" fontId="26" fillId="11" borderId="38">
      <alignment horizontal="center"/>
    </xf>
  </cellStyleXfs>
  <cellXfs count="249">
    <xf numFmtId="0" fontId="0" fillId="0" borderId="0" xfId="0"/>
    <xf numFmtId="0" fontId="1" fillId="4" borderId="0" xfId="0" applyFont="1" applyFill="1"/>
    <xf numFmtId="14" fontId="0" fillId="0" borderId="0" xfId="0" applyNumberFormat="1"/>
    <xf numFmtId="0" fontId="0" fillId="5" borderId="0" xfId="0" applyFill="1"/>
    <xf numFmtId="0" fontId="3" fillId="5" borderId="0" xfId="0" applyFont="1" applyFill="1"/>
    <xf numFmtId="0" fontId="4" fillId="6" borderId="0" xfId="0" applyFont="1" applyFill="1" applyAlignment="1">
      <alignment horizontal="center"/>
    </xf>
    <xf numFmtId="0" fontId="5" fillId="5" borderId="0" xfId="0" applyFont="1" applyFill="1"/>
    <xf numFmtId="0" fontId="6" fillId="4" borderId="6" xfId="0" applyFont="1" applyFill="1" applyBorder="1" applyAlignment="1">
      <alignment horizontal="center"/>
    </xf>
    <xf numFmtId="0" fontId="7" fillId="5" borderId="6" xfId="0" applyFont="1" applyFill="1" applyBorder="1"/>
    <xf numFmtId="0" fontId="7" fillId="5" borderId="6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0" fillId="0" borderId="10" xfId="0" applyBorder="1"/>
    <xf numFmtId="0" fontId="7" fillId="5" borderId="8" xfId="0" applyFont="1" applyFill="1" applyBorder="1" applyAlignment="1">
      <alignment horizontal="center"/>
    </xf>
    <xf numFmtId="0" fontId="7" fillId="5" borderId="11" xfId="0" applyFont="1" applyFill="1" applyBorder="1"/>
    <xf numFmtId="0" fontId="7" fillId="5" borderId="7" xfId="0" applyFont="1" applyFill="1" applyBorder="1"/>
    <xf numFmtId="0" fontId="7" fillId="5" borderId="9" xfId="0" applyFont="1" applyFill="1" applyBorder="1"/>
    <xf numFmtId="0" fontId="0" fillId="5" borderId="14" xfId="0" applyFill="1" applyBorder="1"/>
    <xf numFmtId="0" fontId="7" fillId="5" borderId="15" xfId="0" applyFont="1" applyFill="1" applyBorder="1"/>
    <xf numFmtId="0" fontId="0" fillId="0" borderId="12" xfId="0" applyBorder="1"/>
    <xf numFmtId="0" fontId="10" fillId="6" borderId="0" xfId="0" applyFont="1" applyFill="1" applyAlignment="1">
      <alignment horizontal="center"/>
    </xf>
    <xf numFmtId="0" fontId="11" fillId="0" borderId="17" xfId="0" applyFont="1" applyBorder="1"/>
    <xf numFmtId="0" fontId="11" fillId="0" borderId="7" xfId="0" applyFont="1" applyBorder="1" applyAlignment="1">
      <alignment horizontal="center"/>
    </xf>
    <xf numFmtId="0" fontId="13" fillId="0" borderId="7" xfId="0" applyFont="1" applyBorder="1"/>
    <xf numFmtId="0" fontId="0" fillId="0" borderId="7" xfId="0" applyBorder="1"/>
    <xf numFmtId="0" fontId="14" fillId="0" borderId="7" xfId="0" applyFont="1" applyBorder="1" applyAlignment="1">
      <alignment horizontal="center"/>
    </xf>
    <xf numFmtId="0" fontId="15" fillId="6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left" vertical="center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9" fillId="0" borderId="0" xfId="0" applyFont="1"/>
    <xf numFmtId="0" fontId="20" fillId="0" borderId="19" xfId="0" applyFont="1" applyBorder="1"/>
    <xf numFmtId="0" fontId="21" fillId="0" borderId="9" xfId="0" applyFont="1" applyBorder="1"/>
    <xf numFmtId="0" fontId="22" fillId="0" borderId="6" xfId="0" applyFont="1" applyBorder="1"/>
    <xf numFmtId="0" fontId="23" fillId="0" borderId="0" xfId="0" applyFont="1"/>
    <xf numFmtId="0" fontId="11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7" xfId="0" applyFont="1" applyBorder="1"/>
    <xf numFmtId="0" fontId="14" fillId="0" borderId="7" xfId="0" applyFont="1" applyBorder="1"/>
    <xf numFmtId="0" fontId="14" fillId="0" borderId="15" xfId="0" applyFont="1" applyBorder="1" applyAlignment="1">
      <alignment horizontal="center"/>
    </xf>
    <xf numFmtId="0" fontId="21" fillId="0" borderId="7" xfId="0" applyFont="1" applyBorder="1"/>
    <xf numFmtId="0" fontId="22" fillId="0" borderId="7" xfId="0" applyFont="1" applyBorder="1"/>
    <xf numFmtId="0" fontId="3" fillId="5" borderId="7" xfId="0" applyFont="1" applyFill="1" applyBorder="1"/>
    <xf numFmtId="0" fontId="7" fillId="7" borderId="7" xfId="0" applyFont="1" applyFill="1" applyBorder="1"/>
    <xf numFmtId="0" fontId="3" fillId="0" borderId="0" xfId="0" applyFont="1"/>
    <xf numFmtId="0" fontId="5" fillId="0" borderId="0" xfId="0" applyFont="1"/>
    <xf numFmtId="0" fontId="24" fillId="0" borderId="9" xfId="0" applyFont="1" applyBorder="1"/>
    <xf numFmtId="0" fontId="3" fillId="0" borderId="9" xfId="0" applyFont="1" applyBorder="1"/>
    <xf numFmtId="0" fontId="0" fillId="0" borderId="13" xfId="0" applyBorder="1"/>
    <xf numFmtId="0" fontId="24" fillId="0" borderId="7" xfId="0" applyFont="1" applyBorder="1"/>
    <xf numFmtId="0" fontId="3" fillId="0" borderId="7" xfId="0" applyFont="1" applyBorder="1"/>
    <xf numFmtId="0" fontId="7" fillId="0" borderId="7" xfId="0" applyFont="1" applyBorder="1"/>
    <xf numFmtId="0" fontId="14" fillId="0" borderId="17" xfId="0" applyFont="1" applyBorder="1"/>
    <xf numFmtId="0" fontId="3" fillId="5" borderId="6" xfId="0" applyFont="1" applyFill="1" applyBorder="1"/>
    <xf numFmtId="0" fontId="23" fillId="5" borderId="0" xfId="0" applyFont="1" applyFill="1"/>
    <xf numFmtId="0" fontId="8" fillId="0" borderId="8" xfId="0" applyFont="1" applyBorder="1"/>
    <xf numFmtId="0" fontId="25" fillId="0" borderId="0" xfId="0" applyFont="1" applyAlignment="1">
      <alignment horizontal="center"/>
    </xf>
    <xf numFmtId="0" fontId="7" fillId="0" borderId="8" xfId="0" applyFont="1" applyBorder="1"/>
    <xf numFmtId="0" fontId="22" fillId="0" borderId="0" xfId="0" applyFont="1"/>
    <xf numFmtId="0" fontId="20" fillId="0" borderId="0" xfId="0" applyFont="1"/>
    <xf numFmtId="0" fontId="15" fillId="4" borderId="6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/>
    </xf>
    <xf numFmtId="0" fontId="26" fillId="0" borderId="7" xfId="0" applyFont="1" applyBorder="1"/>
    <xf numFmtId="0" fontId="27" fillId="0" borderId="7" xfId="0" applyFont="1" applyBorder="1"/>
    <xf numFmtId="0" fontId="11" fillId="0" borderId="0" xfId="0" applyFont="1"/>
    <xf numFmtId="0" fontId="28" fillId="0" borderId="0" xfId="0" applyFont="1"/>
    <xf numFmtId="0" fontId="0" fillId="5" borderId="5" xfId="0" applyFill="1" applyBorder="1"/>
    <xf numFmtId="0" fontId="29" fillId="5" borderId="0" xfId="0" applyFont="1" applyFill="1"/>
    <xf numFmtId="0" fontId="30" fillId="5" borderId="0" xfId="0" applyFont="1" applyFill="1" applyAlignment="1">
      <alignment horizontal="center"/>
    </xf>
    <xf numFmtId="0" fontId="31" fillId="5" borderId="16" xfId="0" applyFont="1" applyFill="1" applyBorder="1"/>
    <xf numFmtId="0" fontId="3" fillId="5" borderId="9" xfId="0" applyFont="1" applyFill="1" applyBorder="1"/>
    <xf numFmtId="0" fontId="3" fillId="5" borderId="7" xfId="0" applyFont="1" applyFill="1" applyBorder="1" applyAlignment="1">
      <alignment horizontal="center"/>
    </xf>
    <xf numFmtId="0" fontId="31" fillId="5" borderId="15" xfId="0" applyFont="1" applyFill="1" applyBorder="1"/>
    <xf numFmtId="0" fontId="3" fillId="5" borderId="11" xfId="0" applyFont="1" applyFill="1" applyBorder="1"/>
    <xf numFmtId="0" fontId="3" fillId="5" borderId="20" xfId="0" applyFont="1" applyFill="1" applyBorder="1"/>
    <xf numFmtId="0" fontId="0" fillId="5" borderId="20" xfId="0" applyFill="1" applyBorder="1"/>
    <xf numFmtId="0" fontId="0" fillId="0" borderId="14" xfId="0" applyBorder="1"/>
    <xf numFmtId="0" fontId="6" fillId="4" borderId="14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8" borderId="21" xfId="0" applyFont="1" applyFill="1" applyBorder="1" applyAlignment="1">
      <alignment horizontal="center"/>
    </xf>
    <xf numFmtId="0" fontId="7" fillId="5" borderId="7" xfId="0" applyFont="1" applyFill="1" applyBorder="1" applyAlignment="1">
      <alignment vertical="center" wrapText="1"/>
    </xf>
    <xf numFmtId="0" fontId="9" fillId="5" borderId="21" xfId="0" applyFont="1" applyFill="1" applyBorder="1"/>
    <xf numFmtId="0" fontId="7" fillId="9" borderId="21" xfId="0" applyFont="1" applyFill="1" applyBorder="1"/>
    <xf numFmtId="0" fontId="32" fillId="9" borderId="21" xfId="0" applyFont="1" applyFill="1" applyBorder="1"/>
    <xf numFmtId="0" fontId="8" fillId="5" borderId="6" xfId="0" applyFont="1" applyFill="1" applyBorder="1" applyAlignment="1">
      <alignment horizontal="center"/>
    </xf>
    <xf numFmtId="0" fontId="7" fillId="5" borderId="11" xfId="0" applyFont="1" applyFill="1" applyBorder="1" applyAlignment="1">
      <alignment vertical="center" wrapText="1"/>
    </xf>
    <xf numFmtId="0" fontId="14" fillId="5" borderId="15" xfId="0" applyFont="1" applyFill="1" applyBorder="1"/>
    <xf numFmtId="0" fontId="14" fillId="5" borderId="7" xfId="0" applyFont="1" applyFill="1" applyBorder="1"/>
    <xf numFmtId="0" fontId="14" fillId="5" borderId="11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horizontal="center"/>
    </xf>
    <xf numFmtId="0" fontId="14" fillId="5" borderId="0" xfId="0" applyFont="1" applyFill="1"/>
    <xf numFmtId="0" fontId="14" fillId="5" borderId="0" xfId="0" applyFont="1" applyFill="1" applyAlignment="1">
      <alignment horizontal="center"/>
    </xf>
    <xf numFmtId="0" fontId="7" fillId="5" borderId="7" xfId="0" applyFont="1" applyFill="1" applyBorder="1" applyAlignment="1">
      <alignment horizontal="left"/>
    </xf>
    <xf numFmtId="0" fontId="14" fillId="0" borderId="11" xfId="0" applyFont="1" applyBorder="1"/>
    <xf numFmtId="0" fontId="14" fillId="0" borderId="22" xfId="0" applyFont="1" applyBorder="1" applyAlignment="1">
      <alignment horizontal="center"/>
    </xf>
    <xf numFmtId="0" fontId="18" fillId="5" borderId="0" xfId="0" applyFont="1" applyFill="1" applyAlignment="1">
      <alignment horizontal="center"/>
    </xf>
    <xf numFmtId="0" fontId="19" fillId="5" borderId="0" xfId="0" applyFont="1" applyFill="1"/>
    <xf numFmtId="0" fontId="5" fillId="5" borderId="19" xfId="0" applyFont="1" applyFill="1" applyBorder="1"/>
    <xf numFmtId="0" fontId="24" fillId="5" borderId="9" xfId="0" applyFont="1" applyFill="1" applyBorder="1"/>
    <xf numFmtId="0" fontId="24" fillId="5" borderId="11" xfId="0" applyFont="1" applyFill="1" applyBorder="1"/>
    <xf numFmtId="0" fontId="6" fillId="4" borderId="13" xfId="0" applyFont="1" applyFill="1" applyBorder="1" applyAlignment="1">
      <alignment horizontal="center"/>
    </xf>
    <xf numFmtId="0" fontId="7" fillId="5" borderId="10" xfId="0" applyFont="1" applyFill="1" applyBorder="1"/>
    <xf numFmtId="0" fontId="8" fillId="7" borderId="12" xfId="0" applyFont="1" applyFill="1" applyBorder="1"/>
    <xf numFmtId="0" fontId="8" fillId="7" borderId="7" xfId="0" applyFont="1" applyFill="1" applyBorder="1" applyAlignment="1">
      <alignment horizontal="center"/>
    </xf>
    <xf numFmtId="0" fontId="7" fillId="5" borderId="0" xfId="0" applyFont="1" applyFill="1"/>
    <xf numFmtId="0" fontId="8" fillId="5" borderId="11" xfId="0" applyFont="1" applyFill="1" applyBorder="1"/>
    <xf numFmtId="0" fontId="8" fillId="5" borderId="13" xfId="0" applyFont="1" applyFill="1" applyBorder="1"/>
    <xf numFmtId="0" fontId="8" fillId="5" borderId="13" xfId="0" applyFont="1" applyFill="1" applyBorder="1" applyAlignment="1">
      <alignment horizontal="center"/>
    </xf>
    <xf numFmtId="0" fontId="33" fillId="7" borderId="9" xfId="0" applyFont="1" applyFill="1" applyBorder="1"/>
    <xf numFmtId="0" fontId="33" fillId="7" borderId="6" xfId="0" applyFont="1" applyFill="1" applyBorder="1"/>
    <xf numFmtId="0" fontId="0" fillId="7" borderId="23" xfId="0" applyFill="1" applyBorder="1"/>
    <xf numFmtId="0" fontId="34" fillId="0" borderId="0" xfId="0" applyFont="1"/>
    <xf numFmtId="0" fontId="33" fillId="7" borderId="11" xfId="0" applyFont="1" applyFill="1" applyBorder="1"/>
    <xf numFmtId="0" fontId="33" fillId="7" borderId="7" xfId="0" applyFont="1" applyFill="1" applyBorder="1"/>
    <xf numFmtId="0" fontId="5" fillId="5" borderId="24" xfId="0" applyFont="1" applyFill="1" applyBorder="1"/>
    <xf numFmtId="0" fontId="24" fillId="5" borderId="16" xfId="0" applyFont="1" applyFill="1" applyBorder="1"/>
    <xf numFmtId="0" fontId="0" fillId="5" borderId="13" xfId="0" applyFill="1" applyBorder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10" xfId="0" applyFill="1" applyBorder="1"/>
    <xf numFmtId="0" fontId="8" fillId="5" borderId="6" xfId="0" applyFont="1" applyFill="1" applyBorder="1"/>
    <xf numFmtId="0" fontId="0" fillId="5" borderId="12" xfId="0" applyFill="1" applyBorder="1"/>
    <xf numFmtId="0" fontId="7" fillId="5" borderId="16" xfId="0" applyFont="1" applyFill="1" applyBorder="1"/>
    <xf numFmtId="0" fontId="7" fillId="5" borderId="22" xfId="0" applyFont="1" applyFill="1" applyBorder="1"/>
    <xf numFmtId="0" fontId="7" fillId="5" borderId="17" xfId="0" applyFont="1" applyFill="1" applyBorder="1"/>
    <xf numFmtId="0" fontId="8" fillId="0" borderId="6" xfId="0" applyFont="1" applyBorder="1"/>
    <xf numFmtId="0" fontId="8" fillId="0" borderId="6" xfId="0" applyFont="1" applyBorder="1" applyAlignment="1">
      <alignment horizontal="center"/>
    </xf>
    <xf numFmtId="0" fontId="28" fillId="0" borderId="7" xfId="0" applyFont="1" applyBorder="1"/>
    <xf numFmtId="0" fontId="22" fillId="0" borderId="9" xfId="0" applyFont="1" applyBorder="1"/>
    <xf numFmtId="0" fontId="35" fillId="0" borderId="0" xfId="0" applyFont="1"/>
    <xf numFmtId="0" fontId="21" fillId="0" borderId="10" xfId="0" applyFont="1" applyBorder="1"/>
    <xf numFmtId="0" fontId="28" fillId="0" borderId="0" xfId="0" applyFont="1" applyAlignment="1">
      <alignment horizontal="left"/>
    </xf>
    <xf numFmtId="0" fontId="6" fillId="8" borderId="21" xfId="0" applyFont="1" applyFill="1" applyBorder="1"/>
    <xf numFmtId="0" fontId="0" fillId="0" borderId="25" xfId="0" applyBorder="1"/>
    <xf numFmtId="0" fontId="0" fillId="5" borderId="25" xfId="0" applyFill="1" applyBorder="1"/>
    <xf numFmtId="0" fontId="24" fillId="5" borderId="15" xfId="0" applyFont="1" applyFill="1" applyBorder="1"/>
    <xf numFmtId="0" fontId="6" fillId="4" borderId="16" xfId="0" applyFont="1" applyFill="1" applyBorder="1" applyAlignment="1">
      <alignment horizontal="center"/>
    </xf>
    <xf numFmtId="0" fontId="14" fillId="5" borderId="6" xfId="0" applyFont="1" applyFill="1" applyBorder="1"/>
    <xf numFmtId="0" fontId="14" fillId="5" borderId="6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3" borderId="2" xfId="2" applyFont="1" applyAlignment="1">
      <alignment horizontal="center"/>
    </xf>
    <xf numFmtId="0" fontId="7" fillId="3" borderId="2" xfId="2" applyFont="1"/>
    <xf numFmtId="0" fontId="21" fillId="0" borderId="0" xfId="0" applyFont="1"/>
    <xf numFmtId="0" fontId="37" fillId="6" borderId="0" xfId="0" applyFont="1" applyFill="1"/>
    <xf numFmtId="0" fontId="21" fillId="0" borderId="6" xfId="0" applyFont="1" applyBorder="1"/>
    <xf numFmtId="0" fontId="11" fillId="0" borderId="9" xfId="0" applyFont="1" applyBorder="1"/>
    <xf numFmtId="0" fontId="11" fillId="0" borderId="11" xfId="0" applyFont="1" applyBorder="1"/>
    <xf numFmtId="0" fontId="14" fillId="0" borderId="18" xfId="0" applyFont="1" applyBorder="1"/>
    <xf numFmtId="0" fontId="28" fillId="0" borderId="12" xfId="0" applyFont="1" applyBorder="1"/>
    <xf numFmtId="0" fontId="22" fillId="0" borderId="15" xfId="0" applyFont="1" applyBorder="1"/>
    <xf numFmtId="0" fontId="28" fillId="0" borderId="10" xfId="0" applyFont="1" applyBorder="1"/>
    <xf numFmtId="0" fontId="22" fillId="0" borderId="16" xfId="0" applyFont="1" applyBorder="1"/>
    <xf numFmtId="0" fontId="11" fillId="0" borderId="22" xfId="0" applyFont="1" applyBorder="1"/>
    <xf numFmtId="0" fontId="11" fillId="0" borderId="15" xfId="0" applyFont="1" applyBorder="1"/>
    <xf numFmtId="0" fontId="11" fillId="0" borderId="16" xfId="0" applyFont="1" applyBorder="1"/>
    <xf numFmtId="0" fontId="14" fillId="0" borderId="14" xfId="0" applyFont="1" applyBorder="1"/>
    <xf numFmtId="0" fontId="14" fillId="0" borderId="8" xfId="0" applyFont="1" applyBorder="1"/>
    <xf numFmtId="0" fontId="38" fillId="6" borderId="0" xfId="0" applyFont="1" applyFill="1"/>
    <xf numFmtId="0" fontId="6" fillId="4" borderId="15" xfId="0" applyFont="1" applyFill="1" applyBorder="1" applyAlignment="1">
      <alignment horizontal="center"/>
    </xf>
    <xf numFmtId="0" fontId="19" fillId="5" borderId="26" xfId="0" applyFont="1" applyFill="1" applyBorder="1"/>
    <xf numFmtId="0" fontId="21" fillId="5" borderId="6" xfId="0" applyFont="1" applyFill="1" applyBorder="1"/>
    <xf numFmtId="0" fontId="22" fillId="5" borderId="9" xfId="0" applyFont="1" applyFill="1" applyBorder="1"/>
    <xf numFmtId="0" fontId="22" fillId="5" borderId="6" xfId="0" applyFont="1" applyFill="1" applyBorder="1"/>
    <xf numFmtId="0" fontId="15" fillId="4" borderId="7" xfId="0" applyFont="1" applyFill="1" applyBorder="1" applyAlignment="1">
      <alignment horizontal="center"/>
    </xf>
    <xf numFmtId="0" fontId="39" fillId="0" borderId="7" xfId="0" applyFont="1" applyBorder="1"/>
    <xf numFmtId="0" fontId="26" fillId="0" borderId="6" xfId="0" applyFont="1" applyBorder="1"/>
    <xf numFmtId="0" fontId="40" fillId="0" borderId="0" xfId="4" applyFont="1" applyAlignment="1">
      <alignment horizontal="center"/>
    </xf>
    <xf numFmtId="0" fontId="42" fillId="0" borderId="4" xfId="5" applyAlignment="1">
      <alignment wrapText="1"/>
    </xf>
    <xf numFmtId="0" fontId="38" fillId="6" borderId="0" xfId="0" applyFont="1" applyFill="1" applyAlignment="1">
      <alignment horizontal="center"/>
    </xf>
    <xf numFmtId="0" fontId="3" fillId="0" borderId="6" xfId="0" applyFont="1" applyBorder="1"/>
    <xf numFmtId="0" fontId="7" fillId="0" borderId="9" xfId="0" applyFont="1" applyBorder="1"/>
    <xf numFmtId="0" fontId="7" fillId="0" borderId="6" xfId="0" applyFont="1" applyBorder="1" applyAlignment="1">
      <alignment horizontal="center"/>
    </xf>
    <xf numFmtId="0" fontId="7" fillId="0" borderId="11" xfId="0" applyFont="1" applyBorder="1"/>
    <xf numFmtId="0" fontId="8" fillId="0" borderId="11" xfId="0" applyFont="1" applyBorder="1"/>
    <xf numFmtId="0" fontId="8" fillId="0" borderId="7" xfId="0" applyFont="1" applyBorder="1" applyAlignment="1">
      <alignment horizontal="center"/>
    </xf>
    <xf numFmtId="0" fontId="8" fillId="5" borderId="9" xfId="0" applyFont="1" applyFill="1" applyBorder="1"/>
    <xf numFmtId="0" fontId="43" fillId="5" borderId="7" xfId="0" applyFont="1" applyFill="1" applyBorder="1" applyAlignment="1">
      <alignment horizontal="center"/>
    </xf>
    <xf numFmtId="0" fontId="44" fillId="0" borderId="0" xfId="0" applyFont="1"/>
    <xf numFmtId="0" fontId="16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16" fillId="0" borderId="28" xfId="0" applyFont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31" xfId="0" applyFont="1" applyFill="1" applyBorder="1" applyAlignment="1">
      <alignment horizontal="center" vertical="center"/>
    </xf>
    <xf numFmtId="0" fontId="15" fillId="4" borderId="32" xfId="0" applyFont="1" applyFill="1" applyBorder="1" applyAlignment="1">
      <alignment horizontal="center" vertical="center"/>
    </xf>
    <xf numFmtId="0" fontId="16" fillId="0" borderId="33" xfId="0" applyFont="1" applyBorder="1" applyAlignment="1">
      <alignment horizontal="left" vertical="center"/>
    </xf>
    <xf numFmtId="0" fontId="16" fillId="0" borderId="34" xfId="0" applyFont="1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46" fillId="4" borderId="31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0" xfId="0" applyFont="1"/>
    <xf numFmtId="0" fontId="47" fillId="0" borderId="10" xfId="0" applyFont="1" applyBorder="1"/>
    <xf numFmtId="0" fontId="47" fillId="0" borderId="0" xfId="4" applyFont="1" applyAlignment="1">
      <alignment horizontal="center"/>
    </xf>
    <xf numFmtId="0" fontId="47" fillId="0" borderId="0" xfId="0" applyFont="1"/>
    <xf numFmtId="0" fontId="47" fillId="5" borderId="25" xfId="0" applyFont="1" applyFill="1" applyBorder="1"/>
    <xf numFmtId="0" fontId="47" fillId="0" borderId="25" xfId="0" applyFont="1" applyBorder="1"/>
    <xf numFmtId="0" fontId="47" fillId="5" borderId="5" xfId="0" applyFont="1" applyFill="1" applyBorder="1"/>
    <xf numFmtId="0" fontId="49" fillId="0" borderId="0" xfId="0" applyFont="1" applyAlignment="1">
      <alignment horizontal="left"/>
    </xf>
    <xf numFmtId="164" fontId="50" fillId="10" borderId="0" xfId="0" applyNumberFormat="1" applyFont="1" applyFill="1" applyAlignment="1">
      <alignment horizontal="center" vertical="center"/>
    </xf>
    <xf numFmtId="0" fontId="49" fillId="0" borderId="37" xfId="0" applyFont="1" applyBorder="1" applyAlignment="1">
      <alignment horizontal="left"/>
    </xf>
    <xf numFmtId="0" fontId="51" fillId="11" borderId="38" xfId="0" applyFont="1" applyFill="1" applyBorder="1"/>
    <xf numFmtId="0" fontId="52" fillId="12" borderId="38" xfId="0" applyFont="1" applyFill="1" applyBorder="1" applyAlignment="1">
      <alignment horizontal="center" vertical="center" wrapText="1"/>
    </xf>
    <xf numFmtId="0" fontId="52" fillId="12" borderId="38" xfId="0" applyFont="1" applyFill="1" applyBorder="1" applyAlignment="1">
      <alignment vertical="center" wrapText="1"/>
    </xf>
    <xf numFmtId="0" fontId="52" fillId="12" borderId="38" xfId="0" applyFont="1" applyFill="1" applyBorder="1" applyAlignment="1">
      <alignment horizontal="left" vertical="center" wrapText="1"/>
    </xf>
    <xf numFmtId="0" fontId="26" fillId="11" borderId="38" xfId="0" applyFont="1" applyFill="1" applyBorder="1" applyAlignment="1">
      <alignment horizontal="center"/>
    </xf>
    <xf numFmtId="0" fontId="26" fillId="11" borderId="38" xfId="0" applyFont="1" applyFill="1" applyBorder="1"/>
    <xf numFmtId="1" fontId="26" fillId="11" borderId="38" xfId="0" applyNumberFormat="1" applyFont="1" applyFill="1" applyBorder="1" applyAlignment="1">
      <alignment horizontal="center"/>
    </xf>
    <xf numFmtId="49" fontId="26" fillId="11" borderId="38" xfId="0" applyNumberFormat="1" applyFont="1" applyFill="1" applyBorder="1" applyAlignment="1">
      <alignment horizontal="center"/>
    </xf>
    <xf numFmtId="0" fontId="47" fillId="0" borderId="38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52" fillId="12" borderId="40" xfId="0" applyFont="1" applyFill="1" applyBorder="1" applyAlignment="1">
      <alignment horizontal="center" vertical="center" wrapText="1"/>
    </xf>
    <xf numFmtId="0" fontId="52" fillId="12" borderId="41" xfId="0" applyFont="1" applyFill="1" applyBorder="1" applyAlignment="1">
      <alignment horizontal="center" vertical="center" wrapText="1"/>
    </xf>
    <xf numFmtId="0" fontId="52" fillId="12" borderId="42" xfId="0" applyFont="1" applyFill="1" applyBorder="1" applyAlignment="1">
      <alignment horizontal="center" vertical="center" wrapText="1"/>
    </xf>
    <xf numFmtId="0" fontId="47" fillId="0" borderId="39" xfId="0" applyFont="1" applyBorder="1" applyAlignment="1">
      <alignment horizontal="left" vertical="center" wrapText="1"/>
    </xf>
    <xf numFmtId="0" fontId="47" fillId="0" borderId="38" xfId="0" applyFont="1" applyBorder="1" applyAlignment="1">
      <alignment horizontal="left" vertical="center" wrapText="1"/>
    </xf>
    <xf numFmtId="0" fontId="51" fillId="13" borderId="38" xfId="0" applyFont="1" applyFill="1" applyBorder="1" applyAlignment="1">
      <alignment horizontal="center" vertical="center" wrapText="1"/>
    </xf>
    <xf numFmtId="0" fontId="51" fillId="13" borderId="38" xfId="0" applyFont="1" applyFill="1" applyBorder="1" applyAlignment="1">
      <alignment horizontal="left" vertical="center" wrapText="1"/>
    </xf>
    <xf numFmtId="1" fontId="51" fillId="13" borderId="38" xfId="0" applyNumberFormat="1" applyFont="1" applyFill="1" applyBorder="1" applyAlignment="1">
      <alignment horizontal="center" vertical="center" wrapText="1"/>
    </xf>
    <xf numFmtId="0" fontId="24" fillId="5" borderId="7" xfId="0" applyFont="1" applyFill="1" applyBorder="1"/>
    <xf numFmtId="0" fontId="49" fillId="0" borderId="0" xfId="7">
      <alignment horizontal="left"/>
    </xf>
    <xf numFmtId="164" fontId="50" fillId="10" borderId="0" xfId="8">
      <alignment horizontal="center" vertical="center"/>
    </xf>
    <xf numFmtId="0" fontId="49" fillId="0" borderId="37" xfId="9">
      <alignment horizontal="left"/>
    </xf>
    <xf numFmtId="0" fontId="51" fillId="11" borderId="38" xfId="10"/>
    <xf numFmtId="0" fontId="51" fillId="11" borderId="38" xfId="11"/>
    <xf numFmtId="1" fontId="26" fillId="11" borderId="38" xfId="17">
      <alignment horizontal="center"/>
    </xf>
    <xf numFmtId="0" fontId="26" fillId="11" borderId="38" xfId="16"/>
    <xf numFmtId="0" fontId="51" fillId="13" borderId="38" xfId="15" applyAlignment="1"/>
    <xf numFmtId="0" fontId="51" fillId="13" borderId="38" xfId="15" applyAlignment="1">
      <alignment horizontal="center"/>
    </xf>
    <xf numFmtId="0" fontId="51" fillId="13" borderId="43" xfId="15" applyBorder="1" applyAlignment="1"/>
    <xf numFmtId="0" fontId="51" fillId="13" borderId="43" xfId="15" applyBorder="1" applyAlignment="1">
      <alignment horizontal="center"/>
    </xf>
    <xf numFmtId="0" fontId="52" fillId="12" borderId="44" xfId="0" applyFont="1" applyFill="1" applyBorder="1" applyAlignment="1">
      <alignment horizontal="center" vertical="center" wrapText="1"/>
    </xf>
    <xf numFmtId="0" fontId="52" fillId="12" borderId="45" xfId="0" applyFont="1" applyFill="1" applyBorder="1" applyAlignment="1">
      <alignment horizontal="center" vertical="center" wrapText="1"/>
    </xf>
    <xf numFmtId="0" fontId="52" fillId="12" borderId="46" xfId="0" applyFont="1" applyFill="1" applyBorder="1" applyAlignment="1">
      <alignment horizontal="center" vertical="center" wrapText="1"/>
    </xf>
    <xf numFmtId="0" fontId="51" fillId="0" borderId="0" xfId="15" applyFill="1" applyBorder="1" applyAlignment="1"/>
    <xf numFmtId="0" fontId="51" fillId="0" borderId="0" xfId="15" applyFill="1" applyBorder="1" applyAlignment="1">
      <alignment horizontal="center"/>
    </xf>
    <xf numFmtId="0" fontId="52" fillId="12" borderId="6" xfId="12" applyBorder="1">
      <alignment horizontal="center" vertical="center" wrapText="1"/>
    </xf>
    <xf numFmtId="0" fontId="18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48" fillId="0" borderId="36" xfId="0" applyFont="1" applyBorder="1" applyAlignment="1">
      <alignment horizontal="center" vertical="center"/>
    </xf>
    <xf numFmtId="0" fontId="48" fillId="0" borderId="36" xfId="6">
      <alignment horizontal="center" vertical="center"/>
    </xf>
    <xf numFmtId="0" fontId="36" fillId="0" borderId="3" xfId="3" applyAlignment="1">
      <alignment horizontal="center"/>
    </xf>
    <xf numFmtId="0" fontId="18" fillId="0" borderId="0" xfId="0" applyFont="1"/>
    <xf numFmtId="0" fontId="40" fillId="0" borderId="20" xfId="4" applyFont="1" applyBorder="1" applyAlignment="1">
      <alignment horizontal="center"/>
    </xf>
  </cellXfs>
  <cellStyles count="18">
    <cellStyle name="County Title" xfId="6" xr:uid="{110702DB-CF2B-4DE4-96B3-072A65CF6DE6}"/>
    <cellStyle name="County Total label" xfId="7" xr:uid="{BE0BD73C-DC00-4108-8F88-359266F9C43E}"/>
    <cellStyle name="County total value" xfId="8" xr:uid="{1E231635-500E-41B5-814D-04F676CE006D}"/>
    <cellStyle name="data number" xfId="14" xr:uid="{5E4D687B-6D47-450F-845B-A01B9E98C2D4}"/>
    <cellStyle name="data text" xfId="13" xr:uid="{ADFA4192-226E-4E63-94F6-42783DB79DAC}"/>
    <cellStyle name="Excel Built-in Heading 1" xfId="3" xr:uid="{00000000-0005-0000-0000-000008000000}"/>
    <cellStyle name="Excel Built-in Heading 2" xfId="5" xr:uid="{00000000-0005-0000-0000-00000A000000}"/>
    <cellStyle name="Excel Built-in Input" xfId="1" xr:uid="{00000000-0005-0000-0000-000006000000}"/>
    <cellStyle name="Excel Built-in Note" xfId="2" xr:uid="{00000000-0005-0000-0000-000007000000}"/>
    <cellStyle name="Excel Built-in Title" xfId="4" xr:uid="{00000000-0005-0000-0000-000009000000}"/>
    <cellStyle name="level label" xfId="10" xr:uid="{8DE90710-B0C0-4956-A8F2-CA6D7D8AB9AE}"/>
    <cellStyle name="level value" xfId="11" xr:uid="{714A4860-54E0-4928-ADDE-F15750C5B8C0}"/>
    <cellStyle name="Normal" xfId="0" builtinId="0"/>
    <cellStyle name="register number" xfId="17" xr:uid="{9244C586-5FCA-4C9F-878C-B46165B9CCDF}"/>
    <cellStyle name="register text" xfId="16" xr:uid="{7FBDD073-8371-45E3-A576-74D5571A5172}"/>
    <cellStyle name="section heading" xfId="9" xr:uid="{72410FBB-B869-44E7-8B76-6D6B94E420DB}"/>
    <cellStyle name="table header" xfId="12" xr:uid="{B04DFC1F-5D0A-4BEF-8EF5-A75A1BD64AFF}"/>
    <cellStyle name="total row" xfId="15" xr:uid="{B706ABD2-742B-4770-8898-18B4373380D2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charset val="1"/>
        <scheme val="none"/>
      </font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</font>
      <alignment horizontal="left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"/>
        <charset val="1"/>
        <scheme val="none"/>
      </font>
      <fill>
        <patternFill patternType="solid">
          <fgColor rgb="FF666699"/>
          <bgColor rgb="FF447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156082"/>
      <rgbColor rgb="FFB7B7B7"/>
      <rgbColor rgb="FF808080"/>
      <rgbColor rgb="FFB2B2B2"/>
      <rgbColor rgb="FFA02B93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64BEE6"/>
      <rgbColor rgb="FF99CC00"/>
      <rgbColor rgb="FFFFCC00"/>
      <rgbColor rgb="FFFF9900"/>
      <rgbColor rgb="FFFF6600"/>
      <rgbColor rgb="FF666699"/>
      <rgbColor rgb="FF7F7F7F"/>
      <rgbColor rgb="FF0E2841"/>
      <rgbColor rgb="FF4EA72E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3" totalsRowShown="0">
  <autoFilter ref="B2:D13" xr:uid="{00000000-0009-0000-0100-000002000000}"/>
  <tableColumns count="3">
    <tableColumn id="1" xr3:uid="{00000000-0010-0000-0100-000001000000}" name="FACILITY"/>
    <tableColumn id="2" xr3:uid="{00000000-0010-0000-0100-000002000000}" name="COUNTY"/>
    <tableColumn id="3" xr3:uid="{00000000-0010-0000-0100-000003000000}" name="Category 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5E7A5D-3500-4ED2-A24A-23BB7941EDFC}" name="Table4" displayName="Table4" ref="A1:F279" totalsRowShown="0" headerRowDxfId="31" headerRowBorderDxfId="30" tableBorderDxfId="29" totalsRowBorderDxfId="28">
  <autoFilter ref="A1:F279" xr:uid="{00000000-0001-0000-3A00-000000000000}">
    <filterColumn colId="3">
      <filters>
        <filter val="#N/A"/>
      </filters>
    </filterColumn>
  </autoFilter>
  <sortState xmlns:xlrd2="http://schemas.microsoft.com/office/spreadsheetml/2017/richdata2" ref="A2:F279">
    <sortCondition ref="B1:B279"/>
  </sortState>
  <tableColumns count="6">
    <tableColumn id="1" xr3:uid="{1654B20B-FC2E-4E32-98F9-2B1731A44C58}" name="County" dataDxfId="27"/>
    <tableColumn id="2" xr3:uid="{8195A99E-EA37-48C0-8463-8DCDB2941C91}" name="Facility Name" dataDxfId="26"/>
    <tableColumn id="3" xr3:uid="{DC8C5D13-7FBE-4EC2-8116-4956D0FF6786}" name="Facility Type" dataDxfId="25"/>
    <tableColumn id="4" xr3:uid="{53F4DA6B-6A28-4BD1-B479-FBF886FEF7ED}" name="NBU Availability" dataDxfId="24"/>
    <tableColumn id="5" xr3:uid="{FECB4054-47CA-40C3-BD18-365C3BDE08F6}" name="Paediatric Ward" dataDxfId="23"/>
    <tableColumn id="6" xr3:uid="{B134F351-3EDC-4A4D-9EDD-E5282DC1C266}" name="Maternity" data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C21F23-EB16-43C3-92C8-957FE6A2F1EF}" name="Table5" displayName="Table5" ref="A1:T447" totalsRowShown="0" headerRowDxfId="21" dataDxfId="20">
  <autoFilter ref="A1:T447" xr:uid="{5FC21F23-EB16-43C3-92C8-957FE6A2F1EF}"/>
  <tableColumns count="20">
    <tableColumn id="1" xr3:uid="{F636A2E7-553F-48CC-9DFE-49ECCB0A3B5C}" name="County" dataDxfId="19"/>
    <tableColumn id="2" xr3:uid="{0B088BE3-5A65-4E78-B7E7-BB174034E743}" name="Facility Name" dataDxfId="18"/>
    <tableColumn id="3" xr3:uid="{53827164-B3BA-4ECA-880B-E5F802E25F6A}" name="Level of care" dataDxfId="17"/>
    <tableColumn id="4" xr3:uid="{469FAD29-B85C-459B-BF7C-795E4B29C6E4}" name="Department available - General OPD" dataDxfId="16"/>
    <tableColumn id="5" xr3:uid="{AC6CF6A4-5EC6-4947-9401-7D7B7A5BF75D}" name="Department available - Paediatric ward" dataDxfId="15"/>
    <tableColumn id="6" xr3:uid="{29F80C30-C370-49C2-85A6-0B97D9E23C56}" name="Department available - NBU" dataDxfId="14"/>
    <tableColumn id="7" xr3:uid="{0C8FF712-8F55-4D26-8AE1-A93F8D2CBBEF}" name="Department available - Labour/Maternity" dataDxfId="13"/>
    <tableColumn id="8" xr3:uid="{DA1F4000-6E4B-468E-A251-42761E0DB04F}" name="Department available - Female ward" dataDxfId="12"/>
    <tableColumn id="9" xr3:uid="{1AEF5097-121F-405C-A381-D2C998B88593}" name="Department available - Male ward" dataDxfId="11"/>
    <tableColumn id="10" xr3:uid="{7419A766-C5BB-4932-B68B-F2D19FA4C6E1}" name="Department available - Theatre" dataDxfId="10"/>
    <tableColumn id="11" xr3:uid="{3B9CDFF2-1406-4FAD-B313-5042F8C70BCB}" name="Department available - Surgical ward" dataDxfId="9"/>
    <tableColumn id="12" xr3:uid="{44B7192B-D061-4B85-8F02-E58408C7EF44}" name="Department available - Casualty" dataDxfId="8"/>
    <tableColumn id="13" xr3:uid="{EF1FD194-31B7-4D01-8E15-5CBE823C3437}" name="Department available - Renal ward" dataDxfId="7"/>
    <tableColumn id="14" xr3:uid="{AC7C4276-2587-4AC7-9801-66EECAA96AA7}" name="Department available - MCH" dataDxfId="6"/>
    <tableColumn id="15" xr3:uid="{C8B03FC4-8933-4D46-8E25-14FE264A3292}" name="Department available - ICU" dataDxfId="5"/>
    <tableColumn id="16" xr3:uid="{1CD1125E-266B-4E72-86FB-B2988E1F809A}" name="Department available - Pharmacy" dataDxfId="4"/>
    <tableColumn id="17" xr3:uid="{0F289333-958B-42FF-895B-EB1FB991283A}" name="Department available - HDU" dataDxfId="3"/>
    <tableColumn id="18" xr3:uid="{2A1AA2B0-20DD-468B-857B-36BB5B89783C}" name="Department available - General inpatient" dataDxfId="2"/>
    <tableColumn id="19" xr3:uid="{1D97FF26-3718-4848-BC67-580C371130DF}" name="Department available - Newborn Intensive Care Unit (NICU)" dataDxfId="1"/>
    <tableColumn id="20" xr3:uid="{A7DB7A9F-01B3-4F87-81F7-2988A7A12FCA}" name="Department available - Paediatric Intensive Care Unit (PICU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37EB7F-C04C-49DD-99D8-2854E652CCF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b8ffa1c-5490-4613-8102-6f88020156a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  <pageSetUpPr fitToPage="1"/>
  </sheetPr>
  <dimension ref="B2:F46"/>
  <sheetViews>
    <sheetView showGridLines="0" topLeftCell="A24" zoomScale="90" zoomScaleNormal="90" workbookViewId="0">
      <selection activeCell="D20" sqref="D20"/>
    </sheetView>
  </sheetViews>
  <sheetFormatPr defaultColWidth="8.5546875" defaultRowHeight="14.4" x14ac:dyDescent="0.3"/>
  <cols>
    <col min="1" max="1" width="2.6640625" customWidth="1"/>
    <col min="2" max="2" width="31.44140625" customWidth="1"/>
    <col min="3" max="3" width="18.88671875" customWidth="1"/>
    <col min="4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286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287</v>
      </c>
      <c r="C4" s="22">
        <v>24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19</v>
      </c>
      <c r="E8" s="38"/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291</v>
      </c>
      <c r="D11" s="40">
        <v>5</v>
      </c>
    </row>
    <row r="12" spans="2:6" x14ac:dyDescent="0.3">
      <c r="B12" s="39">
        <v>2</v>
      </c>
      <c r="C12" s="39" t="s">
        <v>292</v>
      </c>
      <c r="D12" s="40">
        <v>3</v>
      </c>
    </row>
    <row r="13" spans="2:6" x14ac:dyDescent="0.3">
      <c r="B13" s="39">
        <v>3</v>
      </c>
      <c r="C13" s="39" t="s">
        <v>293</v>
      </c>
      <c r="D13" s="40">
        <v>4</v>
      </c>
    </row>
    <row r="14" spans="2:6" x14ac:dyDescent="0.3">
      <c r="B14" s="39">
        <v>4</v>
      </c>
      <c r="C14" s="39" t="s">
        <v>294</v>
      </c>
      <c r="D14" s="40">
        <v>3</v>
      </c>
    </row>
    <row r="15" spans="2:6" x14ac:dyDescent="0.3">
      <c r="B15" s="39">
        <v>5</v>
      </c>
      <c r="C15" s="39" t="s">
        <v>295</v>
      </c>
      <c r="D15" s="40">
        <v>3</v>
      </c>
    </row>
    <row r="16" spans="2:6" x14ac:dyDescent="0.3">
      <c r="B16" s="39">
        <v>6</v>
      </c>
      <c r="C16" s="39" t="s">
        <v>296</v>
      </c>
      <c r="D16" s="40">
        <v>3</v>
      </c>
    </row>
    <row r="17" spans="2:6" x14ac:dyDescent="0.3">
      <c r="B17" s="41">
        <v>7</v>
      </c>
      <c r="C17" s="39" t="s">
        <v>297</v>
      </c>
      <c r="D17" s="40">
        <v>3</v>
      </c>
    </row>
    <row r="18" spans="2:6" x14ac:dyDescent="0.3">
      <c r="C18" s="42" t="s">
        <v>150</v>
      </c>
      <c r="D18" s="43">
        <f>SUM(D11:D17)</f>
        <v>24</v>
      </c>
    </row>
    <row r="22" spans="2:6" x14ac:dyDescent="0.3">
      <c r="B22" s="7" t="s">
        <v>197</v>
      </c>
      <c r="C22" s="7" t="s">
        <v>151</v>
      </c>
      <c r="D22" s="7" t="s">
        <v>215</v>
      </c>
      <c r="E22" s="7" t="s">
        <v>216</v>
      </c>
      <c r="F22" s="7" t="s">
        <v>217</v>
      </c>
    </row>
    <row r="23" spans="2:6" x14ac:dyDescent="0.3">
      <c r="B23" s="41">
        <v>1</v>
      </c>
      <c r="C23" s="41" t="s">
        <v>153</v>
      </c>
      <c r="D23" s="41" t="s">
        <v>291</v>
      </c>
      <c r="E23" s="41">
        <v>1</v>
      </c>
      <c r="F23" s="41" t="s">
        <v>298</v>
      </c>
    </row>
    <row r="24" spans="2:6" x14ac:dyDescent="0.3">
      <c r="B24" s="41">
        <v>2</v>
      </c>
      <c r="C24" s="41" t="s">
        <v>153</v>
      </c>
      <c r="D24" s="41" t="s">
        <v>291</v>
      </c>
      <c r="E24" s="41">
        <v>2</v>
      </c>
      <c r="F24" s="41" t="s">
        <v>299</v>
      </c>
    </row>
    <row r="25" spans="2:6" x14ac:dyDescent="0.3">
      <c r="B25" s="41">
        <v>3</v>
      </c>
      <c r="C25" s="41" t="s">
        <v>153</v>
      </c>
      <c r="D25" s="41" t="s">
        <v>291</v>
      </c>
      <c r="E25" s="41">
        <v>3</v>
      </c>
      <c r="F25" s="41" t="s">
        <v>300</v>
      </c>
    </row>
    <row r="26" spans="2:6" x14ac:dyDescent="0.3">
      <c r="B26" s="41">
        <v>4</v>
      </c>
      <c r="C26" s="41" t="s">
        <v>153</v>
      </c>
      <c r="D26" s="41" t="s">
        <v>291</v>
      </c>
      <c r="E26" s="41">
        <v>4</v>
      </c>
      <c r="F26" s="41" t="s">
        <v>301</v>
      </c>
    </row>
    <row r="27" spans="2:6" x14ac:dyDescent="0.3">
      <c r="B27" s="41">
        <v>5</v>
      </c>
      <c r="C27" s="41" t="s">
        <v>153</v>
      </c>
      <c r="D27" s="41" t="s">
        <v>291</v>
      </c>
      <c r="E27" s="41">
        <v>5</v>
      </c>
      <c r="F27" s="41" t="s">
        <v>302</v>
      </c>
    </row>
    <row r="28" spans="2:6" x14ac:dyDescent="0.3">
      <c r="B28" s="41">
        <v>6</v>
      </c>
      <c r="C28" s="41" t="s">
        <v>153</v>
      </c>
      <c r="D28" s="41" t="s">
        <v>292</v>
      </c>
      <c r="E28" s="41">
        <v>1</v>
      </c>
      <c r="F28" s="41" t="s">
        <v>303</v>
      </c>
    </row>
    <row r="29" spans="2:6" x14ac:dyDescent="0.3">
      <c r="B29" s="41">
        <v>7</v>
      </c>
      <c r="C29" s="41" t="s">
        <v>153</v>
      </c>
      <c r="D29" s="41" t="s">
        <v>292</v>
      </c>
      <c r="E29" s="41">
        <v>2</v>
      </c>
      <c r="F29" s="41" t="s">
        <v>304</v>
      </c>
    </row>
    <row r="30" spans="2:6" x14ac:dyDescent="0.3">
      <c r="B30" s="41">
        <v>8</v>
      </c>
      <c r="C30" s="41" t="s">
        <v>153</v>
      </c>
      <c r="D30" s="41" t="s">
        <v>292</v>
      </c>
      <c r="E30" s="41">
        <v>3</v>
      </c>
      <c r="F30" s="41" t="s">
        <v>305</v>
      </c>
    </row>
    <row r="31" spans="2:6" x14ac:dyDescent="0.3">
      <c r="B31" s="41">
        <v>9</v>
      </c>
      <c r="C31" s="41" t="s">
        <v>153</v>
      </c>
      <c r="D31" s="41" t="s">
        <v>293</v>
      </c>
      <c r="E31" s="41">
        <v>1</v>
      </c>
      <c r="F31" s="41" t="s">
        <v>306</v>
      </c>
    </row>
    <row r="32" spans="2:6" x14ac:dyDescent="0.3">
      <c r="B32" s="41">
        <v>10</v>
      </c>
      <c r="C32" s="41" t="s">
        <v>153</v>
      </c>
      <c r="D32" s="41" t="s">
        <v>293</v>
      </c>
      <c r="E32" s="41">
        <v>2</v>
      </c>
      <c r="F32" s="41" t="s">
        <v>307</v>
      </c>
    </row>
    <row r="33" spans="2:6" x14ac:dyDescent="0.3">
      <c r="B33" s="41">
        <v>11</v>
      </c>
      <c r="C33" s="41" t="s">
        <v>153</v>
      </c>
      <c r="D33" s="41" t="s">
        <v>293</v>
      </c>
      <c r="E33" s="41">
        <v>3</v>
      </c>
      <c r="F33" s="41" t="s">
        <v>308</v>
      </c>
    </row>
    <row r="34" spans="2:6" x14ac:dyDescent="0.3">
      <c r="B34" s="41">
        <v>12</v>
      </c>
      <c r="C34" s="41" t="s">
        <v>153</v>
      </c>
      <c r="D34" s="41" t="s">
        <v>293</v>
      </c>
      <c r="E34" s="41">
        <v>4</v>
      </c>
      <c r="F34" s="41" t="s">
        <v>309</v>
      </c>
    </row>
    <row r="35" spans="2:6" x14ac:dyDescent="0.3">
      <c r="B35" s="41">
        <v>13</v>
      </c>
      <c r="C35" s="41" t="s">
        <v>153</v>
      </c>
      <c r="D35" s="41" t="s">
        <v>294</v>
      </c>
      <c r="E35" s="41">
        <v>1</v>
      </c>
      <c r="F35" s="41" t="s">
        <v>310</v>
      </c>
    </row>
    <row r="36" spans="2:6" x14ac:dyDescent="0.3">
      <c r="B36" s="41">
        <v>14</v>
      </c>
      <c r="C36" s="41" t="s">
        <v>153</v>
      </c>
      <c r="D36" s="41" t="s">
        <v>294</v>
      </c>
      <c r="E36" s="41">
        <v>2</v>
      </c>
      <c r="F36" s="41" t="s">
        <v>311</v>
      </c>
    </row>
    <row r="37" spans="2:6" x14ac:dyDescent="0.3">
      <c r="B37" s="41">
        <v>15</v>
      </c>
      <c r="C37" s="41" t="s">
        <v>153</v>
      </c>
      <c r="D37" s="41" t="s">
        <v>294</v>
      </c>
      <c r="E37" s="41">
        <v>3</v>
      </c>
      <c r="F37" s="41" t="s">
        <v>312</v>
      </c>
    </row>
    <row r="38" spans="2:6" x14ac:dyDescent="0.3">
      <c r="B38" s="41">
        <v>16</v>
      </c>
      <c r="C38" s="41" t="s">
        <v>153</v>
      </c>
      <c r="D38" s="41" t="s">
        <v>295</v>
      </c>
      <c r="E38" s="41">
        <v>1</v>
      </c>
      <c r="F38" s="41" t="s">
        <v>313</v>
      </c>
    </row>
    <row r="39" spans="2:6" x14ac:dyDescent="0.3">
      <c r="B39" s="41">
        <v>17</v>
      </c>
      <c r="C39" s="41" t="s">
        <v>153</v>
      </c>
      <c r="D39" s="41" t="s">
        <v>295</v>
      </c>
      <c r="E39" s="41">
        <v>2</v>
      </c>
      <c r="F39" s="41" t="s">
        <v>314</v>
      </c>
    </row>
    <row r="40" spans="2:6" x14ac:dyDescent="0.3">
      <c r="B40" s="41">
        <v>18</v>
      </c>
      <c r="C40" s="41" t="s">
        <v>153</v>
      </c>
      <c r="D40" s="41" t="s">
        <v>295</v>
      </c>
      <c r="E40" s="41">
        <v>3</v>
      </c>
      <c r="F40" s="41" t="s">
        <v>315</v>
      </c>
    </row>
    <row r="41" spans="2:6" x14ac:dyDescent="0.3">
      <c r="B41" s="41">
        <v>19</v>
      </c>
      <c r="C41" s="41" t="s">
        <v>153</v>
      </c>
      <c r="D41" s="41" t="s">
        <v>296</v>
      </c>
      <c r="E41" s="41">
        <v>1</v>
      </c>
      <c r="F41" s="41" t="s">
        <v>316</v>
      </c>
    </row>
    <row r="42" spans="2:6" x14ac:dyDescent="0.3">
      <c r="B42" s="41">
        <v>20</v>
      </c>
      <c r="C42" s="41" t="s">
        <v>153</v>
      </c>
      <c r="D42" s="41" t="s">
        <v>296</v>
      </c>
      <c r="E42" s="41">
        <v>2</v>
      </c>
      <c r="F42" s="41" t="s">
        <v>317</v>
      </c>
    </row>
    <row r="43" spans="2:6" x14ac:dyDescent="0.3">
      <c r="B43" s="41">
        <v>21</v>
      </c>
      <c r="C43" s="41" t="s">
        <v>153</v>
      </c>
      <c r="D43" s="41" t="s">
        <v>296</v>
      </c>
      <c r="E43" s="41">
        <v>3</v>
      </c>
      <c r="F43" s="41" t="s">
        <v>318</v>
      </c>
    </row>
    <row r="44" spans="2:6" x14ac:dyDescent="0.3">
      <c r="B44" s="41">
        <v>22</v>
      </c>
      <c r="C44" s="41" t="s">
        <v>153</v>
      </c>
      <c r="D44" s="41" t="s">
        <v>297</v>
      </c>
      <c r="E44" s="41">
        <v>1</v>
      </c>
      <c r="F44" s="41" t="s">
        <v>319</v>
      </c>
    </row>
    <row r="45" spans="2:6" x14ac:dyDescent="0.3">
      <c r="B45" s="41">
        <v>23</v>
      </c>
      <c r="C45" s="41" t="s">
        <v>153</v>
      </c>
      <c r="D45" s="41" t="s">
        <v>297</v>
      </c>
      <c r="E45" s="41">
        <v>2</v>
      </c>
      <c r="F45" s="41" t="s">
        <v>320</v>
      </c>
    </row>
    <row r="46" spans="2:6" x14ac:dyDescent="0.3">
      <c r="B46" s="41">
        <v>24</v>
      </c>
      <c r="C46" s="41" t="s">
        <v>153</v>
      </c>
      <c r="D46" s="41" t="s">
        <v>297</v>
      </c>
      <c r="E46" s="41">
        <v>3</v>
      </c>
      <c r="F46" s="41" t="s">
        <v>321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  <pageSetUpPr fitToPage="1"/>
  </sheetPr>
  <dimension ref="B2:F41"/>
  <sheetViews>
    <sheetView showGridLines="0" view="pageLayout" topLeftCell="A37" zoomScaleNormal="90" workbookViewId="0">
      <selection activeCell="D23" sqref="D23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322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323</v>
      </c>
      <c r="C4" s="22">
        <v>20</v>
      </c>
    </row>
    <row r="5" spans="2:6" ht="15" customHeight="1" x14ac:dyDescent="0.3">
      <c r="B5" s="35" t="s">
        <v>288</v>
      </c>
    </row>
    <row r="7" spans="2:6" x14ac:dyDescent="0.3">
      <c r="B7" s="44" t="s">
        <v>289</v>
      </c>
      <c r="C7" s="45">
        <v>5</v>
      </c>
    </row>
    <row r="8" spans="2:6" x14ac:dyDescent="0.3">
      <c r="B8" s="44" t="s">
        <v>147</v>
      </c>
      <c r="C8" s="46">
        <v>12</v>
      </c>
      <c r="E8" s="38" t="s">
        <v>324</v>
      </c>
    </row>
    <row r="9" spans="2:6" x14ac:dyDescent="0.3">
      <c r="B9" s="44" t="s">
        <v>149</v>
      </c>
      <c r="C9" s="46">
        <v>3</v>
      </c>
      <c r="E9" s="38"/>
    </row>
    <row r="11" spans="2:6" x14ac:dyDescent="0.3">
      <c r="B11" s="7" t="s">
        <v>197</v>
      </c>
      <c r="C11" s="7" t="s">
        <v>215</v>
      </c>
      <c r="D11" s="7" t="s">
        <v>290</v>
      </c>
    </row>
    <row r="12" spans="2:6" x14ac:dyDescent="0.3">
      <c r="B12" s="39">
        <v>1</v>
      </c>
      <c r="C12" s="39" t="s">
        <v>325</v>
      </c>
      <c r="D12" s="40">
        <v>3</v>
      </c>
    </row>
    <row r="13" spans="2:6" x14ac:dyDescent="0.3">
      <c r="B13" s="39">
        <v>2</v>
      </c>
      <c r="C13" s="39" t="s">
        <v>326</v>
      </c>
      <c r="D13" s="40">
        <v>3</v>
      </c>
    </row>
    <row r="14" spans="2:6" x14ac:dyDescent="0.3">
      <c r="B14" s="39">
        <v>3</v>
      </c>
      <c r="C14" s="39" t="s">
        <v>327</v>
      </c>
      <c r="D14" s="9">
        <v>5</v>
      </c>
    </row>
    <row r="15" spans="2:6" x14ac:dyDescent="0.3">
      <c r="B15" s="39">
        <v>4</v>
      </c>
      <c r="C15" s="39" t="s">
        <v>328</v>
      </c>
      <c r="D15" s="40">
        <v>3</v>
      </c>
    </row>
    <row r="16" spans="2:6" x14ac:dyDescent="0.3">
      <c r="B16" s="39">
        <v>5</v>
      </c>
      <c r="C16" s="39" t="s">
        <v>329</v>
      </c>
      <c r="D16" s="40">
        <v>3</v>
      </c>
    </row>
    <row r="17" spans="2:6" x14ac:dyDescent="0.3">
      <c r="B17" s="39">
        <v>6</v>
      </c>
      <c r="C17" s="39" t="s">
        <v>330</v>
      </c>
      <c r="D17" s="40">
        <v>3</v>
      </c>
    </row>
    <row r="18" spans="2:6" x14ac:dyDescent="0.3">
      <c r="B18" s="17"/>
      <c r="C18" s="17" t="s">
        <v>150</v>
      </c>
      <c r="D18" s="10">
        <f>SUM(D12:D17)</f>
        <v>20</v>
      </c>
    </row>
    <row r="21" spans="2:6" x14ac:dyDescent="0.3">
      <c r="B21" s="7" t="s">
        <v>197</v>
      </c>
      <c r="C21" s="7" t="s">
        <v>151</v>
      </c>
      <c r="D21" s="7" t="s">
        <v>215</v>
      </c>
      <c r="E21" s="7" t="s">
        <v>216</v>
      </c>
      <c r="F21" s="7" t="s">
        <v>217</v>
      </c>
    </row>
    <row r="22" spans="2:6" x14ac:dyDescent="0.3">
      <c r="B22" s="41">
        <v>1</v>
      </c>
      <c r="C22" s="41" t="s">
        <v>154</v>
      </c>
      <c r="D22" s="41" t="s">
        <v>325</v>
      </c>
      <c r="E22" s="41">
        <v>1</v>
      </c>
      <c r="F22" s="41" t="s">
        <v>331</v>
      </c>
    </row>
    <row r="23" spans="2:6" x14ac:dyDescent="0.3">
      <c r="B23" s="41">
        <v>2</v>
      </c>
      <c r="C23" s="41" t="s">
        <v>154</v>
      </c>
      <c r="D23" s="41" t="s">
        <v>325</v>
      </c>
      <c r="E23" s="41">
        <v>2</v>
      </c>
      <c r="F23" s="41" t="s">
        <v>332</v>
      </c>
    </row>
    <row r="24" spans="2:6" x14ac:dyDescent="0.3">
      <c r="B24" s="41">
        <v>3</v>
      </c>
      <c r="C24" s="41" t="s">
        <v>154</v>
      </c>
      <c r="D24" s="41" t="s">
        <v>325</v>
      </c>
      <c r="E24" s="41">
        <v>3</v>
      </c>
      <c r="F24" s="41" t="s">
        <v>333</v>
      </c>
    </row>
    <row r="25" spans="2:6" x14ac:dyDescent="0.3">
      <c r="B25" s="41">
        <v>4</v>
      </c>
      <c r="C25" s="41" t="s">
        <v>154</v>
      </c>
      <c r="D25" s="41" t="s">
        <v>326</v>
      </c>
      <c r="E25" s="41">
        <v>1</v>
      </c>
      <c r="F25" s="41" t="s">
        <v>334</v>
      </c>
    </row>
    <row r="26" spans="2:6" x14ac:dyDescent="0.3">
      <c r="B26" s="41">
        <v>5</v>
      </c>
      <c r="C26" s="41" t="s">
        <v>154</v>
      </c>
      <c r="D26" s="41" t="s">
        <v>326</v>
      </c>
      <c r="E26" s="41">
        <v>2</v>
      </c>
      <c r="F26" s="41" t="s">
        <v>335</v>
      </c>
    </row>
    <row r="27" spans="2:6" x14ac:dyDescent="0.3">
      <c r="B27" s="41">
        <v>6</v>
      </c>
      <c r="C27" s="41" t="s">
        <v>154</v>
      </c>
      <c r="D27" s="41" t="s">
        <v>326</v>
      </c>
      <c r="E27" s="41">
        <v>3</v>
      </c>
      <c r="F27" s="41" t="s">
        <v>336</v>
      </c>
    </row>
    <row r="28" spans="2:6" x14ac:dyDescent="0.3">
      <c r="B28" s="41">
        <v>7</v>
      </c>
      <c r="C28" s="41" t="s">
        <v>154</v>
      </c>
      <c r="D28" s="41" t="s">
        <v>327</v>
      </c>
      <c r="E28" s="41">
        <v>1</v>
      </c>
      <c r="F28" s="41" t="s">
        <v>337</v>
      </c>
    </row>
    <row r="29" spans="2:6" x14ac:dyDescent="0.3">
      <c r="B29" s="41">
        <v>8</v>
      </c>
      <c r="C29" s="41" t="s">
        <v>154</v>
      </c>
      <c r="D29" s="41" t="s">
        <v>327</v>
      </c>
      <c r="E29" s="41">
        <v>2</v>
      </c>
      <c r="F29" s="41" t="s">
        <v>338</v>
      </c>
    </row>
    <row r="30" spans="2:6" x14ac:dyDescent="0.3">
      <c r="B30" s="41">
        <v>9</v>
      </c>
      <c r="C30" s="41" t="s">
        <v>154</v>
      </c>
      <c r="D30" s="41" t="s">
        <v>327</v>
      </c>
      <c r="E30" s="41">
        <v>3</v>
      </c>
      <c r="F30" s="41" t="s">
        <v>339</v>
      </c>
    </row>
    <row r="31" spans="2:6" x14ac:dyDescent="0.3">
      <c r="B31" s="41">
        <v>10</v>
      </c>
      <c r="C31" s="41" t="s">
        <v>154</v>
      </c>
      <c r="D31" s="41" t="s">
        <v>327</v>
      </c>
      <c r="E31" s="41">
        <v>4</v>
      </c>
      <c r="F31" s="41" t="s">
        <v>340</v>
      </c>
    </row>
    <row r="32" spans="2:6" x14ac:dyDescent="0.3">
      <c r="B32" s="41">
        <v>11</v>
      </c>
      <c r="C32" s="41" t="s">
        <v>154</v>
      </c>
      <c r="D32" s="41" t="s">
        <v>327</v>
      </c>
      <c r="E32" s="41">
        <v>5</v>
      </c>
      <c r="F32" s="41" t="s">
        <v>341</v>
      </c>
    </row>
    <row r="33" spans="2:6" x14ac:dyDescent="0.3">
      <c r="B33" s="41">
        <v>12</v>
      </c>
      <c r="C33" s="41" t="s">
        <v>154</v>
      </c>
      <c r="D33" s="41" t="s">
        <v>328</v>
      </c>
      <c r="E33" s="41">
        <v>1</v>
      </c>
      <c r="F33" s="41" t="s">
        <v>342</v>
      </c>
    </row>
    <row r="34" spans="2:6" x14ac:dyDescent="0.3">
      <c r="B34" s="41">
        <v>13</v>
      </c>
      <c r="C34" s="41" t="s">
        <v>154</v>
      </c>
      <c r="D34" s="41" t="s">
        <v>328</v>
      </c>
      <c r="E34" s="41">
        <v>2</v>
      </c>
      <c r="F34" s="41" t="s">
        <v>343</v>
      </c>
    </row>
    <row r="35" spans="2:6" x14ac:dyDescent="0.3">
      <c r="B35" s="41">
        <v>14</v>
      </c>
      <c r="C35" s="41" t="s">
        <v>154</v>
      </c>
      <c r="D35" s="41" t="s">
        <v>328</v>
      </c>
      <c r="E35" s="41">
        <v>3</v>
      </c>
      <c r="F35" s="41" t="s">
        <v>344</v>
      </c>
    </row>
    <row r="36" spans="2:6" x14ac:dyDescent="0.3">
      <c r="B36" s="41">
        <v>15</v>
      </c>
      <c r="C36" s="41" t="s">
        <v>154</v>
      </c>
      <c r="D36" s="41" t="s">
        <v>329</v>
      </c>
      <c r="E36" s="41">
        <v>1</v>
      </c>
      <c r="F36" s="41" t="s">
        <v>345</v>
      </c>
    </row>
    <row r="37" spans="2:6" x14ac:dyDescent="0.3">
      <c r="B37" s="39">
        <v>16</v>
      </c>
      <c r="C37" s="39" t="s">
        <v>154</v>
      </c>
      <c r="D37" s="39" t="s">
        <v>329</v>
      </c>
      <c r="E37" s="39">
        <v>2</v>
      </c>
      <c r="F37" s="41" t="s">
        <v>346</v>
      </c>
    </row>
    <row r="38" spans="2:6" x14ac:dyDescent="0.3">
      <c r="B38" s="39">
        <v>17</v>
      </c>
      <c r="C38" s="39" t="s">
        <v>154</v>
      </c>
      <c r="D38" s="39" t="s">
        <v>329</v>
      </c>
      <c r="E38" s="39">
        <v>3</v>
      </c>
      <c r="F38" s="41" t="s">
        <v>347</v>
      </c>
    </row>
    <row r="39" spans="2:6" x14ac:dyDescent="0.3">
      <c r="B39" s="17">
        <v>18</v>
      </c>
      <c r="C39" s="17" t="s">
        <v>154</v>
      </c>
      <c r="D39" s="47" t="s">
        <v>330</v>
      </c>
      <c r="E39" s="17">
        <v>1</v>
      </c>
      <c r="F39" s="41" t="s">
        <v>348</v>
      </c>
    </row>
    <row r="40" spans="2:6" x14ac:dyDescent="0.3">
      <c r="B40" s="17">
        <v>19</v>
      </c>
      <c r="C40" s="17" t="s">
        <v>154</v>
      </c>
      <c r="D40" s="47" t="s">
        <v>330</v>
      </c>
      <c r="E40" s="17">
        <v>2</v>
      </c>
      <c r="F40" s="41" t="s">
        <v>349</v>
      </c>
    </row>
    <row r="41" spans="2:6" x14ac:dyDescent="0.3">
      <c r="B41" s="17">
        <v>20</v>
      </c>
      <c r="C41" s="17" t="s">
        <v>154</v>
      </c>
      <c r="D41" s="47" t="s">
        <v>330</v>
      </c>
      <c r="E41" s="17">
        <v>3</v>
      </c>
      <c r="F41" s="41" t="s">
        <v>350</v>
      </c>
    </row>
  </sheetData>
  <mergeCells count="1">
    <mergeCell ref="B2:F2"/>
  </mergeCells>
  <pageMargins left="0.25" right="0.25" top="0.75" bottom="0.75" header="0.3" footer="0.3"/>
  <pageSetup paperSize="9" scale="86" fitToHeight="0" orientation="landscape" horizontalDpi="300" verticalDpi="300" r:id="rId1"/>
  <headerFooter>
    <oddFooter>&amp;LPulse Oximetry allocation&amp;C&amp;A&amp;R&amp;P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249977111117893"/>
    <pageSetUpPr fitToPage="1"/>
  </sheetPr>
  <dimension ref="B3:J37"/>
  <sheetViews>
    <sheetView showGridLines="0" view="pageLayout" topLeftCell="A17" zoomScaleNormal="90" workbookViewId="0">
      <selection activeCell="C8" sqref="C8"/>
    </sheetView>
  </sheetViews>
  <sheetFormatPr defaultColWidth="8.5546875" defaultRowHeight="14.4" x14ac:dyDescent="0.3"/>
  <cols>
    <col min="2" max="2" width="17.109375" customWidth="1"/>
    <col min="3" max="3" width="13.33203125" customWidth="1"/>
    <col min="4" max="4" width="25.88671875" customWidth="1"/>
    <col min="5" max="5" width="13.33203125" customWidth="1"/>
    <col min="6" max="6" width="28.44140625" customWidth="1"/>
    <col min="9" max="9" width="25.88671875" customWidth="1"/>
  </cols>
  <sheetData>
    <row r="3" spans="2:10" x14ac:dyDescent="0.3">
      <c r="B3" s="48" t="s">
        <v>351</v>
      </c>
      <c r="C3" s="199"/>
      <c r="D3" s="48">
        <f>COUNTA(F10:F37)</f>
        <v>28</v>
      </c>
    </row>
    <row r="4" spans="2:10" x14ac:dyDescent="0.3">
      <c r="B4" s="49" t="s">
        <v>288</v>
      </c>
    </row>
    <row r="6" spans="2:10" x14ac:dyDescent="0.3">
      <c r="B6" s="50" t="s">
        <v>146</v>
      </c>
      <c r="C6" s="36"/>
      <c r="D6" s="51">
        <f t="array" ref="D6">SUMPRODUCT((ISNUMBER(SEARCH("Referral",D10:D37)))*1)</f>
        <v>10</v>
      </c>
      <c r="E6" s="52"/>
    </row>
    <row r="7" spans="2:10" x14ac:dyDescent="0.3">
      <c r="B7" s="53" t="s">
        <v>147</v>
      </c>
      <c r="C7" s="44"/>
      <c r="D7" s="54">
        <f t="array" ref="D7">SUMPRODUCT((ISNUMBER(SEARCH("hospital",D10:D37)))*1)-D6</f>
        <v>18</v>
      </c>
      <c r="F7" s="38"/>
    </row>
    <row r="9" spans="2:10" x14ac:dyDescent="0.3">
      <c r="B9" s="12" t="s">
        <v>197</v>
      </c>
      <c r="C9" s="12" t="s">
        <v>151</v>
      </c>
      <c r="D9" s="12" t="s">
        <v>215</v>
      </c>
      <c r="E9" s="12" t="s">
        <v>216</v>
      </c>
      <c r="F9" s="12" t="s">
        <v>217</v>
      </c>
      <c r="I9" s="11" t="s">
        <v>215</v>
      </c>
      <c r="J9" s="7" t="s">
        <v>290</v>
      </c>
    </row>
    <row r="10" spans="2:10" x14ac:dyDescent="0.3">
      <c r="B10" s="55">
        <v>1</v>
      </c>
      <c r="C10" s="55" t="s">
        <v>155</v>
      </c>
      <c r="D10" s="55" t="s">
        <v>352</v>
      </c>
      <c r="E10" s="55">
        <v>1</v>
      </c>
      <c r="F10" s="55" t="s">
        <v>353</v>
      </c>
      <c r="I10" s="55" t="s">
        <v>352</v>
      </c>
      <c r="J10" s="41">
        <v>2</v>
      </c>
    </row>
    <row r="11" spans="2:10" x14ac:dyDescent="0.3">
      <c r="B11" s="55">
        <v>2</v>
      </c>
      <c r="C11" s="55" t="s">
        <v>155</v>
      </c>
      <c r="D11" s="55" t="s">
        <v>352</v>
      </c>
      <c r="E11" s="55">
        <v>2</v>
      </c>
      <c r="F11" s="55" t="s">
        <v>354</v>
      </c>
      <c r="I11" s="55" t="s">
        <v>355</v>
      </c>
      <c r="J11" s="41">
        <v>2</v>
      </c>
    </row>
    <row r="12" spans="2:10" x14ac:dyDescent="0.3">
      <c r="B12" s="41">
        <v>3</v>
      </c>
      <c r="C12" s="41" t="s">
        <v>155</v>
      </c>
      <c r="D12" s="41" t="s">
        <v>355</v>
      </c>
      <c r="E12" s="41">
        <v>1</v>
      </c>
      <c r="F12" s="41" t="s">
        <v>356</v>
      </c>
      <c r="I12" s="41" t="s">
        <v>357</v>
      </c>
      <c r="J12" s="41">
        <v>5</v>
      </c>
    </row>
    <row r="13" spans="2:10" x14ac:dyDescent="0.3">
      <c r="B13" s="41">
        <v>4</v>
      </c>
      <c r="C13" s="41" t="s">
        <v>155</v>
      </c>
      <c r="D13" s="41" t="s">
        <v>355</v>
      </c>
      <c r="E13" s="41">
        <v>2</v>
      </c>
      <c r="F13" s="41" t="s">
        <v>358</v>
      </c>
      <c r="I13" s="41" t="s">
        <v>359</v>
      </c>
      <c r="J13" s="41">
        <v>2</v>
      </c>
    </row>
    <row r="14" spans="2:10" x14ac:dyDescent="0.3">
      <c r="B14" s="41">
        <v>5</v>
      </c>
      <c r="C14" s="41" t="s">
        <v>155</v>
      </c>
      <c r="D14" s="41" t="s">
        <v>357</v>
      </c>
      <c r="E14" s="41">
        <v>1</v>
      </c>
      <c r="F14" s="41" t="s">
        <v>360</v>
      </c>
      <c r="I14" s="41" t="s">
        <v>361</v>
      </c>
      <c r="J14" s="41">
        <v>2</v>
      </c>
    </row>
    <row r="15" spans="2:10" x14ac:dyDescent="0.3">
      <c r="B15" s="41">
        <v>6</v>
      </c>
      <c r="C15" s="41" t="s">
        <v>155</v>
      </c>
      <c r="D15" s="41" t="s">
        <v>357</v>
      </c>
      <c r="E15" s="41">
        <v>2</v>
      </c>
      <c r="F15" s="41" t="s">
        <v>362</v>
      </c>
      <c r="I15" s="41" t="s">
        <v>363</v>
      </c>
      <c r="J15" s="41">
        <v>2</v>
      </c>
    </row>
    <row r="16" spans="2:10" x14ac:dyDescent="0.3">
      <c r="B16" s="41">
        <v>7</v>
      </c>
      <c r="C16" s="41" t="s">
        <v>155</v>
      </c>
      <c r="D16" s="41" t="s">
        <v>357</v>
      </c>
      <c r="E16" s="41">
        <v>3</v>
      </c>
      <c r="F16" s="41" t="s">
        <v>364</v>
      </c>
      <c r="I16" s="41" t="s">
        <v>365</v>
      </c>
      <c r="J16" s="41">
        <v>2</v>
      </c>
    </row>
    <row r="17" spans="2:10" x14ac:dyDescent="0.3">
      <c r="B17" s="41">
        <v>8</v>
      </c>
      <c r="C17" s="41" t="s">
        <v>155</v>
      </c>
      <c r="D17" s="41" t="s">
        <v>357</v>
      </c>
      <c r="E17" s="41">
        <v>4</v>
      </c>
      <c r="F17" s="41" t="s">
        <v>366</v>
      </c>
      <c r="I17" s="41" t="s">
        <v>367</v>
      </c>
      <c r="J17" s="41">
        <v>2</v>
      </c>
    </row>
    <row r="18" spans="2:10" x14ac:dyDescent="0.3">
      <c r="B18" s="41">
        <v>9</v>
      </c>
      <c r="C18" s="41" t="s">
        <v>155</v>
      </c>
      <c r="D18" s="41" t="s">
        <v>357</v>
      </c>
      <c r="E18" s="41">
        <v>5</v>
      </c>
      <c r="F18" s="41" t="s">
        <v>368</v>
      </c>
      <c r="I18" s="41" t="s">
        <v>369</v>
      </c>
      <c r="J18" s="41">
        <v>2</v>
      </c>
    </row>
    <row r="19" spans="2:10" x14ac:dyDescent="0.3">
      <c r="B19" s="41">
        <v>10</v>
      </c>
      <c r="C19" s="41" t="s">
        <v>155</v>
      </c>
      <c r="D19" s="41" t="s">
        <v>359</v>
      </c>
      <c r="E19" s="41">
        <v>1</v>
      </c>
      <c r="F19" s="41" t="s">
        <v>370</v>
      </c>
      <c r="I19" s="41" t="s">
        <v>371</v>
      </c>
      <c r="J19" s="41">
        <v>2</v>
      </c>
    </row>
    <row r="20" spans="2:10" x14ac:dyDescent="0.3">
      <c r="B20" s="41">
        <v>11</v>
      </c>
      <c r="C20" s="41" t="s">
        <v>155</v>
      </c>
      <c r="D20" s="41" t="s">
        <v>359</v>
      </c>
      <c r="E20" s="41">
        <v>2</v>
      </c>
      <c r="F20" s="41" t="s">
        <v>372</v>
      </c>
      <c r="I20" s="41" t="s">
        <v>373</v>
      </c>
      <c r="J20" s="41">
        <v>5</v>
      </c>
    </row>
    <row r="21" spans="2:10" x14ac:dyDescent="0.3">
      <c r="B21" s="41">
        <v>12</v>
      </c>
      <c r="C21" s="41" t="s">
        <v>155</v>
      </c>
      <c r="D21" s="41" t="s">
        <v>361</v>
      </c>
      <c r="E21" s="41">
        <v>1</v>
      </c>
      <c r="F21" s="41" t="s">
        <v>374</v>
      </c>
      <c r="I21" s="56" t="s">
        <v>150</v>
      </c>
      <c r="J21" s="56">
        <f>SUM(J10:J20)</f>
        <v>28</v>
      </c>
    </row>
    <row r="22" spans="2:10" x14ac:dyDescent="0.3">
      <c r="B22" s="41">
        <v>13</v>
      </c>
      <c r="C22" s="41" t="s">
        <v>155</v>
      </c>
      <c r="D22" s="41" t="s">
        <v>361</v>
      </c>
      <c r="E22" s="41">
        <v>2</v>
      </c>
      <c r="F22" s="41" t="s">
        <v>375</v>
      </c>
    </row>
    <row r="23" spans="2:10" x14ac:dyDescent="0.3">
      <c r="B23" s="41">
        <v>14</v>
      </c>
      <c r="C23" s="41" t="s">
        <v>155</v>
      </c>
      <c r="D23" s="41" t="s">
        <v>363</v>
      </c>
      <c r="E23" s="41">
        <v>1</v>
      </c>
      <c r="F23" s="41" t="s">
        <v>376</v>
      </c>
    </row>
    <row r="24" spans="2:10" x14ac:dyDescent="0.3">
      <c r="B24" s="41">
        <v>15</v>
      </c>
      <c r="C24" s="41" t="s">
        <v>155</v>
      </c>
      <c r="D24" s="41" t="s">
        <v>363</v>
      </c>
      <c r="E24" s="41">
        <v>2</v>
      </c>
      <c r="F24" s="41" t="s">
        <v>377</v>
      </c>
    </row>
    <row r="25" spans="2:10" x14ac:dyDescent="0.3">
      <c r="B25" s="41">
        <v>16</v>
      </c>
      <c r="C25" s="41" t="s">
        <v>155</v>
      </c>
      <c r="D25" s="41" t="s">
        <v>365</v>
      </c>
      <c r="E25" s="41">
        <v>1</v>
      </c>
      <c r="F25" s="41" t="s">
        <v>378</v>
      </c>
    </row>
    <row r="26" spans="2:10" x14ac:dyDescent="0.3">
      <c r="B26" s="41">
        <v>17</v>
      </c>
      <c r="C26" s="41" t="s">
        <v>155</v>
      </c>
      <c r="D26" s="41" t="s">
        <v>365</v>
      </c>
      <c r="E26" s="41">
        <v>2</v>
      </c>
      <c r="F26" s="41" t="s">
        <v>379</v>
      </c>
    </row>
    <row r="27" spans="2:10" x14ac:dyDescent="0.3">
      <c r="B27" s="41">
        <v>18</v>
      </c>
      <c r="C27" s="41" t="s">
        <v>155</v>
      </c>
      <c r="D27" s="41" t="s">
        <v>367</v>
      </c>
      <c r="E27" s="41">
        <v>1</v>
      </c>
      <c r="F27" s="41" t="s">
        <v>380</v>
      </c>
    </row>
    <row r="28" spans="2:10" x14ac:dyDescent="0.3">
      <c r="B28" s="41">
        <v>19</v>
      </c>
      <c r="C28" s="41" t="s">
        <v>155</v>
      </c>
      <c r="D28" s="41" t="s">
        <v>367</v>
      </c>
      <c r="E28" s="41">
        <v>2</v>
      </c>
      <c r="F28" s="41" t="s">
        <v>381</v>
      </c>
    </row>
    <row r="29" spans="2:10" x14ac:dyDescent="0.3">
      <c r="B29" s="41">
        <v>20</v>
      </c>
      <c r="C29" s="41" t="s">
        <v>155</v>
      </c>
      <c r="D29" s="41" t="s">
        <v>369</v>
      </c>
      <c r="E29" s="41">
        <v>1</v>
      </c>
      <c r="F29" s="41" t="s">
        <v>382</v>
      </c>
    </row>
    <row r="30" spans="2:10" x14ac:dyDescent="0.3">
      <c r="B30" s="41">
        <v>21</v>
      </c>
      <c r="C30" s="41" t="s">
        <v>155</v>
      </c>
      <c r="D30" s="41" t="s">
        <v>369</v>
      </c>
      <c r="E30" s="41">
        <v>2</v>
      </c>
      <c r="F30" s="41" t="s">
        <v>383</v>
      </c>
    </row>
    <row r="31" spans="2:10" x14ac:dyDescent="0.3">
      <c r="B31" s="41">
        <v>22</v>
      </c>
      <c r="C31" s="41" t="s">
        <v>155</v>
      </c>
      <c r="D31" s="41" t="s">
        <v>371</v>
      </c>
      <c r="E31" s="41">
        <v>1</v>
      </c>
      <c r="F31" s="41" t="s">
        <v>384</v>
      </c>
    </row>
    <row r="32" spans="2:10" x14ac:dyDescent="0.3">
      <c r="B32" s="41">
        <v>23</v>
      </c>
      <c r="C32" s="41" t="s">
        <v>155</v>
      </c>
      <c r="D32" s="41" t="s">
        <v>371</v>
      </c>
      <c r="E32" s="41">
        <v>2</v>
      </c>
      <c r="F32" s="41" t="s">
        <v>385</v>
      </c>
    </row>
    <row r="33" spans="2:6" x14ac:dyDescent="0.3">
      <c r="B33" s="41">
        <v>24</v>
      </c>
      <c r="C33" s="41" t="s">
        <v>155</v>
      </c>
      <c r="D33" s="41" t="s">
        <v>373</v>
      </c>
      <c r="E33" s="41">
        <v>1</v>
      </c>
      <c r="F33" s="41" t="s">
        <v>386</v>
      </c>
    </row>
    <row r="34" spans="2:6" x14ac:dyDescent="0.3">
      <c r="B34" s="41">
        <v>25</v>
      </c>
      <c r="C34" s="41" t="s">
        <v>155</v>
      </c>
      <c r="D34" s="41" t="s">
        <v>373</v>
      </c>
      <c r="E34" s="41">
        <v>2</v>
      </c>
      <c r="F34" s="41" t="s">
        <v>387</v>
      </c>
    </row>
    <row r="35" spans="2:6" x14ac:dyDescent="0.3">
      <c r="B35" s="41">
        <v>26</v>
      </c>
      <c r="C35" s="41" t="s">
        <v>155</v>
      </c>
      <c r="D35" s="41" t="s">
        <v>373</v>
      </c>
      <c r="E35" s="41">
        <v>3</v>
      </c>
      <c r="F35" s="41" t="s">
        <v>388</v>
      </c>
    </row>
    <row r="36" spans="2:6" x14ac:dyDescent="0.3">
      <c r="B36" s="41">
        <v>27</v>
      </c>
      <c r="C36" s="41" t="s">
        <v>155</v>
      </c>
      <c r="D36" s="41" t="s">
        <v>373</v>
      </c>
      <c r="E36" s="41">
        <v>4</v>
      </c>
      <c r="F36" s="41" t="s">
        <v>389</v>
      </c>
    </row>
    <row r="37" spans="2:6" x14ac:dyDescent="0.3">
      <c r="B37" s="41">
        <v>28</v>
      </c>
      <c r="C37" s="41" t="s">
        <v>155</v>
      </c>
      <c r="D37" s="41" t="s">
        <v>373</v>
      </c>
      <c r="E37" s="41">
        <v>5</v>
      </c>
      <c r="F37" s="41" t="s">
        <v>390</v>
      </c>
    </row>
  </sheetData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249977111117893"/>
    <pageSetUpPr fitToPage="1"/>
  </sheetPr>
  <dimension ref="B2:F44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391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392</v>
      </c>
      <c r="C4" s="22">
        <v>24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57">
        <v>19</v>
      </c>
      <c r="E8" s="58" t="s">
        <v>393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394</v>
      </c>
      <c r="D11" s="40">
        <v>4</v>
      </c>
    </row>
    <row r="12" spans="2:6" x14ac:dyDescent="0.3">
      <c r="B12" s="39">
        <v>2</v>
      </c>
      <c r="C12" s="39" t="s">
        <v>395</v>
      </c>
      <c r="D12" s="40">
        <v>5</v>
      </c>
    </row>
    <row r="13" spans="2:6" x14ac:dyDescent="0.3">
      <c r="B13" s="39">
        <v>3</v>
      </c>
      <c r="C13" s="39" t="s">
        <v>396</v>
      </c>
      <c r="D13" s="40">
        <v>3</v>
      </c>
    </row>
    <row r="14" spans="2:6" x14ac:dyDescent="0.3">
      <c r="B14" s="39">
        <v>4</v>
      </c>
      <c r="C14" s="39" t="s">
        <v>397</v>
      </c>
      <c r="D14" s="40">
        <v>3</v>
      </c>
    </row>
    <row r="15" spans="2:6" x14ac:dyDescent="0.3">
      <c r="B15" s="39">
        <v>5</v>
      </c>
      <c r="C15" s="39" t="s">
        <v>398</v>
      </c>
      <c r="D15" s="40">
        <v>3</v>
      </c>
    </row>
    <row r="16" spans="2:6" x14ac:dyDescent="0.3">
      <c r="B16" s="41">
        <v>6</v>
      </c>
      <c r="C16" s="39" t="s">
        <v>399</v>
      </c>
      <c r="D16" s="40">
        <v>3</v>
      </c>
    </row>
    <row r="17" spans="2:6" x14ac:dyDescent="0.3">
      <c r="B17" s="55">
        <v>7</v>
      </c>
      <c r="C17" s="41" t="s">
        <v>400</v>
      </c>
      <c r="D17" s="24">
        <v>3</v>
      </c>
    </row>
    <row r="18" spans="2:6" x14ac:dyDescent="0.3">
      <c r="C18" s="59" t="s">
        <v>150</v>
      </c>
      <c r="D18" s="60">
        <f>SUM(D11:D17)</f>
        <v>24</v>
      </c>
    </row>
    <row r="19" spans="2:6" x14ac:dyDescent="0.3">
      <c r="C19" s="59"/>
      <c r="D19" s="60"/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156</v>
      </c>
      <c r="D21" s="41" t="s">
        <v>394</v>
      </c>
      <c r="E21" s="41">
        <v>1</v>
      </c>
      <c r="F21" s="41" t="s">
        <v>401</v>
      </c>
    </row>
    <row r="22" spans="2:6" x14ac:dyDescent="0.3">
      <c r="B22" s="41">
        <v>2</v>
      </c>
      <c r="C22" s="41" t="s">
        <v>156</v>
      </c>
      <c r="D22" s="41" t="s">
        <v>394</v>
      </c>
      <c r="E22" s="41">
        <v>2</v>
      </c>
      <c r="F22" s="41" t="s">
        <v>402</v>
      </c>
    </row>
    <row r="23" spans="2:6" x14ac:dyDescent="0.3">
      <c r="B23" s="41">
        <v>3</v>
      </c>
      <c r="C23" s="41" t="s">
        <v>156</v>
      </c>
      <c r="D23" s="41" t="s">
        <v>394</v>
      </c>
      <c r="E23" s="41">
        <v>3</v>
      </c>
      <c r="F23" s="41" t="s">
        <v>403</v>
      </c>
    </row>
    <row r="24" spans="2:6" x14ac:dyDescent="0.3">
      <c r="B24" s="41">
        <v>4</v>
      </c>
      <c r="C24" s="41" t="s">
        <v>156</v>
      </c>
      <c r="D24" s="41" t="s">
        <v>394</v>
      </c>
      <c r="E24" s="41">
        <v>4</v>
      </c>
      <c r="F24" s="41" t="s">
        <v>404</v>
      </c>
    </row>
    <row r="25" spans="2:6" x14ac:dyDescent="0.3">
      <c r="B25" s="41">
        <v>5</v>
      </c>
      <c r="C25" s="41" t="s">
        <v>156</v>
      </c>
      <c r="D25" s="41" t="s">
        <v>395</v>
      </c>
      <c r="E25" s="41">
        <v>1</v>
      </c>
      <c r="F25" s="41" t="s">
        <v>405</v>
      </c>
    </row>
    <row r="26" spans="2:6" x14ac:dyDescent="0.3">
      <c r="B26" s="41">
        <v>6</v>
      </c>
      <c r="C26" s="41" t="s">
        <v>156</v>
      </c>
      <c r="D26" s="41" t="s">
        <v>395</v>
      </c>
      <c r="E26" s="41">
        <v>2</v>
      </c>
      <c r="F26" s="41" t="s">
        <v>406</v>
      </c>
    </row>
    <row r="27" spans="2:6" x14ac:dyDescent="0.3">
      <c r="B27" s="41">
        <v>7</v>
      </c>
      <c r="C27" s="41" t="s">
        <v>156</v>
      </c>
      <c r="D27" s="41" t="s">
        <v>395</v>
      </c>
      <c r="E27" s="41">
        <v>3</v>
      </c>
      <c r="F27" s="41" t="s">
        <v>407</v>
      </c>
    </row>
    <row r="28" spans="2:6" x14ac:dyDescent="0.3">
      <c r="B28" s="41">
        <v>8</v>
      </c>
      <c r="C28" s="41" t="s">
        <v>156</v>
      </c>
      <c r="D28" s="41" t="s">
        <v>395</v>
      </c>
      <c r="E28" s="41">
        <v>4</v>
      </c>
      <c r="F28" s="41" t="s">
        <v>408</v>
      </c>
    </row>
    <row r="29" spans="2:6" x14ac:dyDescent="0.3">
      <c r="B29" s="41">
        <v>9</v>
      </c>
      <c r="C29" s="41" t="s">
        <v>156</v>
      </c>
      <c r="D29" s="41" t="s">
        <v>395</v>
      </c>
      <c r="E29" s="41">
        <v>5</v>
      </c>
      <c r="F29" s="41" t="s">
        <v>409</v>
      </c>
    </row>
    <row r="30" spans="2:6" x14ac:dyDescent="0.3">
      <c r="B30" s="41">
        <v>10</v>
      </c>
      <c r="C30" s="41" t="s">
        <v>156</v>
      </c>
      <c r="D30" s="41" t="s">
        <v>396</v>
      </c>
      <c r="E30" s="41">
        <v>1</v>
      </c>
      <c r="F30" s="41" t="s">
        <v>410</v>
      </c>
    </row>
    <row r="31" spans="2:6" x14ac:dyDescent="0.3">
      <c r="B31" s="41">
        <v>11</v>
      </c>
      <c r="C31" s="41" t="s">
        <v>156</v>
      </c>
      <c r="D31" s="41" t="s">
        <v>396</v>
      </c>
      <c r="E31" s="41">
        <v>2</v>
      </c>
      <c r="F31" s="41" t="s">
        <v>411</v>
      </c>
    </row>
    <row r="32" spans="2:6" x14ac:dyDescent="0.3">
      <c r="B32" s="41">
        <v>12</v>
      </c>
      <c r="C32" s="41" t="s">
        <v>156</v>
      </c>
      <c r="D32" s="41" t="s">
        <v>396</v>
      </c>
      <c r="E32" s="41">
        <v>3</v>
      </c>
      <c r="F32" s="41" t="s">
        <v>412</v>
      </c>
    </row>
    <row r="33" spans="2:6" x14ac:dyDescent="0.3">
      <c r="B33" s="41">
        <v>13</v>
      </c>
      <c r="C33" s="41" t="s">
        <v>156</v>
      </c>
      <c r="D33" s="41" t="s">
        <v>397</v>
      </c>
      <c r="E33" s="41">
        <v>1</v>
      </c>
      <c r="F33" s="41" t="s">
        <v>413</v>
      </c>
    </row>
    <row r="34" spans="2:6" x14ac:dyDescent="0.3">
      <c r="B34" s="41">
        <v>14</v>
      </c>
      <c r="C34" s="41" t="s">
        <v>156</v>
      </c>
      <c r="D34" s="41" t="s">
        <v>397</v>
      </c>
      <c r="E34" s="41">
        <v>2</v>
      </c>
      <c r="F34" s="41" t="s">
        <v>414</v>
      </c>
    </row>
    <row r="35" spans="2:6" x14ac:dyDescent="0.3">
      <c r="B35" s="41">
        <v>15</v>
      </c>
      <c r="C35" s="41" t="s">
        <v>156</v>
      </c>
      <c r="D35" s="41" t="s">
        <v>397</v>
      </c>
      <c r="E35" s="41">
        <v>3</v>
      </c>
      <c r="F35" s="41" t="s">
        <v>415</v>
      </c>
    </row>
    <row r="36" spans="2:6" x14ac:dyDescent="0.3">
      <c r="B36" s="41">
        <v>16</v>
      </c>
      <c r="C36" s="41" t="s">
        <v>156</v>
      </c>
      <c r="D36" s="41" t="s">
        <v>398</v>
      </c>
      <c r="E36" s="41">
        <v>1</v>
      </c>
      <c r="F36" s="41" t="s">
        <v>416</v>
      </c>
    </row>
    <row r="37" spans="2:6" x14ac:dyDescent="0.3">
      <c r="B37" s="41">
        <v>17</v>
      </c>
      <c r="C37" s="41" t="s">
        <v>156</v>
      </c>
      <c r="D37" s="41" t="s">
        <v>398</v>
      </c>
      <c r="E37" s="41">
        <v>2</v>
      </c>
      <c r="F37" s="41" t="s">
        <v>417</v>
      </c>
    </row>
    <row r="38" spans="2:6" x14ac:dyDescent="0.3">
      <c r="B38" s="41">
        <v>18</v>
      </c>
      <c r="C38" s="41" t="s">
        <v>156</v>
      </c>
      <c r="D38" s="41" t="s">
        <v>398</v>
      </c>
      <c r="E38" s="41">
        <v>3</v>
      </c>
      <c r="F38" s="41" t="s">
        <v>418</v>
      </c>
    </row>
    <row r="39" spans="2:6" x14ac:dyDescent="0.3">
      <c r="B39" s="41">
        <v>19</v>
      </c>
      <c r="C39" s="41" t="s">
        <v>156</v>
      </c>
      <c r="D39" s="41" t="s">
        <v>399</v>
      </c>
      <c r="E39" s="41">
        <v>1</v>
      </c>
      <c r="F39" s="41" t="s">
        <v>419</v>
      </c>
    </row>
    <row r="40" spans="2:6" x14ac:dyDescent="0.3">
      <c r="B40" s="41">
        <v>20</v>
      </c>
      <c r="C40" s="41" t="s">
        <v>156</v>
      </c>
      <c r="D40" s="41" t="s">
        <v>399</v>
      </c>
      <c r="E40" s="41">
        <v>2</v>
      </c>
      <c r="F40" s="41" t="s">
        <v>420</v>
      </c>
    </row>
    <row r="41" spans="2:6" x14ac:dyDescent="0.3">
      <c r="B41" s="41">
        <v>21</v>
      </c>
      <c r="C41" s="41" t="s">
        <v>156</v>
      </c>
      <c r="D41" s="41" t="s">
        <v>399</v>
      </c>
      <c r="E41" s="41">
        <v>3</v>
      </c>
      <c r="F41" s="41" t="s">
        <v>421</v>
      </c>
    </row>
    <row r="42" spans="2:6" x14ac:dyDescent="0.3">
      <c r="B42" s="61">
        <v>22</v>
      </c>
      <c r="C42" s="61" t="s">
        <v>156</v>
      </c>
      <c r="D42" s="61" t="s">
        <v>400</v>
      </c>
      <c r="E42" s="61">
        <v>1</v>
      </c>
      <c r="F42" s="61" t="s">
        <v>422</v>
      </c>
    </row>
    <row r="43" spans="2:6" x14ac:dyDescent="0.3">
      <c r="B43" s="61">
        <v>23</v>
      </c>
      <c r="C43" s="61" t="s">
        <v>156</v>
      </c>
      <c r="D43" s="61" t="s">
        <v>400</v>
      </c>
      <c r="E43" s="61">
        <v>2</v>
      </c>
      <c r="F43" s="61" t="s">
        <v>423</v>
      </c>
    </row>
    <row r="44" spans="2:6" x14ac:dyDescent="0.3">
      <c r="B44" s="61">
        <v>24</v>
      </c>
      <c r="C44" s="61" t="s">
        <v>156</v>
      </c>
      <c r="D44" s="61" t="s">
        <v>400</v>
      </c>
      <c r="E44" s="61">
        <v>3</v>
      </c>
      <c r="F44" s="61" t="s">
        <v>424</v>
      </c>
    </row>
  </sheetData>
  <mergeCells count="1">
    <mergeCell ref="B2:F2"/>
  </mergeCells>
  <pageMargins left="0.25" right="0.25" top="0.75" bottom="0.75" header="0.3" footer="0.3"/>
  <pageSetup paperSize="9" scale="86" fitToHeight="0" orientation="landscape" horizontalDpi="300" verticalDpi="300" r:id="rId1"/>
  <headerFooter>
    <oddFooter>&amp;LPulse Oximetry allocation&amp;C&amp;A&amp;R&amp;P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  <pageSetUpPr fitToPage="1"/>
  </sheetPr>
  <dimension ref="B3:I34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3" max="3" width="15.5546875" customWidth="1"/>
    <col min="4" max="4" width="24.5546875" customWidth="1"/>
    <col min="8" max="8" width="24.5546875" customWidth="1"/>
  </cols>
  <sheetData>
    <row r="3" spans="2:9" x14ac:dyDescent="0.3">
      <c r="B3" s="62" t="s">
        <v>425</v>
      </c>
      <c r="C3" s="199"/>
      <c r="D3" s="62">
        <f>COUNTA(F11:F34)</f>
        <v>17</v>
      </c>
    </row>
    <row r="4" spans="2:9" x14ac:dyDescent="0.3">
      <c r="B4" s="63" t="s">
        <v>288</v>
      </c>
    </row>
    <row r="6" spans="2:9" x14ac:dyDescent="0.3">
      <c r="B6" s="44" t="s">
        <v>146</v>
      </c>
      <c r="C6" s="26"/>
      <c r="D6" s="45">
        <f t="array" ref="D6">SUMPRODUCT((ISNUMBER(SEARCH("Referral",D11:D34)))*1)+(SUMPRODUCT((ISNUMBER(SEARCH("Teaching",D11:D34)))*1))</f>
        <v>5</v>
      </c>
    </row>
    <row r="7" spans="2:9" x14ac:dyDescent="0.3">
      <c r="B7" s="44" t="s">
        <v>147</v>
      </c>
      <c r="C7" s="26"/>
      <c r="D7" s="45">
        <f t="array" ref="D7">SUMPRODUCT((ISNUMBER(SEARCH("hospital",D11:D34)))*1)-SUMPRODUCT((ISNUMBER(SEARCH("Referral",D11:D34)))*(ISNUMBER(SEARCH("hospital",D11:D34)))*1)</f>
        <v>12</v>
      </c>
      <c r="F7" s="38"/>
    </row>
    <row r="8" spans="2:9" x14ac:dyDescent="0.3">
      <c r="B8" s="44" t="s">
        <v>148</v>
      </c>
      <c r="C8" s="26"/>
      <c r="D8" s="45">
        <f>D3-D6-D7</f>
        <v>0</v>
      </c>
      <c r="F8" s="38"/>
    </row>
    <row r="10" spans="2:9" x14ac:dyDescent="0.3">
      <c r="B10" s="64" t="s">
        <v>197</v>
      </c>
      <c r="C10" s="64" t="s">
        <v>151</v>
      </c>
      <c r="D10" s="64" t="s">
        <v>215</v>
      </c>
      <c r="E10" s="64" t="s">
        <v>216</v>
      </c>
      <c r="F10" s="64" t="s">
        <v>217</v>
      </c>
      <c r="H10" s="65" t="s">
        <v>215</v>
      </c>
      <c r="I10" s="64" t="s">
        <v>290</v>
      </c>
    </row>
    <row r="11" spans="2:9" x14ac:dyDescent="0.3">
      <c r="B11" s="66">
        <v>1</v>
      </c>
      <c r="C11" s="66" t="s">
        <v>157</v>
      </c>
      <c r="D11" s="66" t="s">
        <v>426</v>
      </c>
      <c r="E11" s="66">
        <v>1</v>
      </c>
      <c r="F11" s="66" t="s">
        <v>427</v>
      </c>
      <c r="H11" s="66" t="s">
        <v>426</v>
      </c>
      <c r="I11" s="66">
        <v>2</v>
      </c>
    </row>
    <row r="12" spans="2:9" x14ac:dyDescent="0.3">
      <c r="B12" s="66">
        <v>2</v>
      </c>
      <c r="C12" s="66" t="s">
        <v>157</v>
      </c>
      <c r="D12" s="66" t="s">
        <v>426</v>
      </c>
      <c r="E12" s="66">
        <v>2</v>
      </c>
      <c r="F12" s="66" t="s">
        <v>428</v>
      </c>
      <c r="H12" s="66" t="s">
        <v>429</v>
      </c>
      <c r="I12" s="66">
        <v>2</v>
      </c>
    </row>
    <row r="13" spans="2:9" x14ac:dyDescent="0.3">
      <c r="B13" s="66">
        <v>3</v>
      </c>
      <c r="C13" s="66" t="s">
        <v>157</v>
      </c>
      <c r="D13" s="66" t="s">
        <v>429</v>
      </c>
      <c r="E13" s="66">
        <v>1</v>
      </c>
      <c r="F13" s="66" t="s">
        <v>430</v>
      </c>
      <c r="H13" s="66" t="s">
        <v>431</v>
      </c>
      <c r="I13" s="66">
        <v>5</v>
      </c>
    </row>
    <row r="14" spans="2:9" x14ac:dyDescent="0.3">
      <c r="B14" s="66">
        <v>4</v>
      </c>
      <c r="C14" s="66" t="s">
        <v>157</v>
      </c>
      <c r="D14" s="66" t="s">
        <v>429</v>
      </c>
      <c r="E14" s="66">
        <v>2</v>
      </c>
      <c r="F14" s="66" t="s">
        <v>432</v>
      </c>
      <c r="H14" s="66" t="s">
        <v>433</v>
      </c>
      <c r="I14" s="66">
        <v>2</v>
      </c>
    </row>
    <row r="15" spans="2:9" x14ac:dyDescent="0.3">
      <c r="B15" s="66">
        <v>5</v>
      </c>
      <c r="C15" s="66" t="s">
        <v>157</v>
      </c>
      <c r="D15" s="66" t="s">
        <v>431</v>
      </c>
      <c r="E15" s="66">
        <v>1</v>
      </c>
      <c r="F15" s="66" t="s">
        <v>434</v>
      </c>
      <c r="H15" s="66" t="s">
        <v>435</v>
      </c>
      <c r="I15" s="66">
        <v>2</v>
      </c>
    </row>
    <row r="16" spans="2:9" x14ac:dyDescent="0.3">
      <c r="B16" s="66">
        <v>6</v>
      </c>
      <c r="C16" s="66" t="s">
        <v>157</v>
      </c>
      <c r="D16" s="66" t="s">
        <v>431</v>
      </c>
      <c r="E16" s="66">
        <v>2</v>
      </c>
      <c r="F16" s="66" t="s">
        <v>436</v>
      </c>
      <c r="H16" s="66" t="s">
        <v>437</v>
      </c>
      <c r="I16" s="66">
        <v>2</v>
      </c>
    </row>
    <row r="17" spans="2:9" x14ac:dyDescent="0.3">
      <c r="B17" s="66">
        <v>7</v>
      </c>
      <c r="C17" s="66" t="s">
        <v>157</v>
      </c>
      <c r="D17" s="66" t="s">
        <v>431</v>
      </c>
      <c r="E17" s="66">
        <v>3</v>
      </c>
      <c r="F17" s="66" t="s">
        <v>438</v>
      </c>
      <c r="H17" s="66" t="s">
        <v>439</v>
      </c>
      <c r="I17" s="66">
        <v>2</v>
      </c>
    </row>
    <row r="18" spans="2:9" x14ac:dyDescent="0.3">
      <c r="B18" s="66">
        <v>8</v>
      </c>
      <c r="C18" s="66" t="s">
        <v>157</v>
      </c>
      <c r="D18" s="66" t="s">
        <v>431</v>
      </c>
      <c r="E18" s="66">
        <v>4</v>
      </c>
      <c r="F18" s="66" t="s">
        <v>440</v>
      </c>
      <c r="H18" s="67" t="s">
        <v>150</v>
      </c>
      <c r="I18" s="67">
        <v>17</v>
      </c>
    </row>
    <row r="19" spans="2:9" x14ac:dyDescent="0.3">
      <c r="B19" s="66">
        <v>9</v>
      </c>
      <c r="C19" s="66" t="s">
        <v>157</v>
      </c>
      <c r="D19" s="66" t="s">
        <v>431</v>
      </c>
      <c r="E19" s="66">
        <v>5</v>
      </c>
      <c r="F19" s="66" t="s">
        <v>441</v>
      </c>
    </row>
    <row r="20" spans="2:9" x14ac:dyDescent="0.3">
      <c r="B20" s="66">
        <v>10</v>
      </c>
      <c r="C20" s="66" t="s">
        <v>157</v>
      </c>
      <c r="D20" s="66" t="s">
        <v>433</v>
      </c>
      <c r="E20" s="66">
        <v>1</v>
      </c>
      <c r="F20" s="66" t="s">
        <v>442</v>
      </c>
    </row>
    <row r="21" spans="2:9" x14ac:dyDescent="0.3">
      <c r="B21" s="66">
        <v>11</v>
      </c>
      <c r="C21" s="66" t="s">
        <v>157</v>
      </c>
      <c r="D21" s="66" t="s">
        <v>433</v>
      </c>
      <c r="E21" s="66">
        <v>2</v>
      </c>
      <c r="F21" s="66" t="s">
        <v>443</v>
      </c>
    </row>
    <row r="22" spans="2:9" x14ac:dyDescent="0.3">
      <c r="B22" s="66">
        <v>12</v>
      </c>
      <c r="C22" s="66" t="s">
        <v>157</v>
      </c>
      <c r="D22" s="66" t="s">
        <v>435</v>
      </c>
      <c r="E22" s="66">
        <v>1</v>
      </c>
      <c r="F22" s="66" t="s">
        <v>444</v>
      </c>
    </row>
    <row r="23" spans="2:9" x14ac:dyDescent="0.3">
      <c r="B23" s="66">
        <v>13</v>
      </c>
      <c r="C23" s="66" t="s">
        <v>157</v>
      </c>
      <c r="D23" s="66" t="s">
        <v>435</v>
      </c>
      <c r="E23" s="66">
        <v>2</v>
      </c>
      <c r="F23" s="66" t="s">
        <v>445</v>
      </c>
    </row>
    <row r="24" spans="2:9" x14ac:dyDescent="0.3">
      <c r="B24" s="66">
        <v>14</v>
      </c>
      <c r="C24" s="66" t="s">
        <v>157</v>
      </c>
      <c r="D24" s="66" t="s">
        <v>437</v>
      </c>
      <c r="E24" s="66">
        <v>1</v>
      </c>
      <c r="F24" s="66" t="s">
        <v>446</v>
      </c>
    </row>
    <row r="25" spans="2:9" x14ac:dyDescent="0.3">
      <c r="B25" s="66">
        <v>15</v>
      </c>
      <c r="C25" s="66" t="s">
        <v>157</v>
      </c>
      <c r="D25" s="66" t="s">
        <v>437</v>
      </c>
      <c r="E25" s="66">
        <v>2</v>
      </c>
      <c r="F25" s="66" t="s">
        <v>447</v>
      </c>
    </row>
    <row r="26" spans="2:9" x14ac:dyDescent="0.3">
      <c r="B26" s="66">
        <v>16</v>
      </c>
      <c r="C26" s="66" t="s">
        <v>157</v>
      </c>
      <c r="D26" s="66" t="s">
        <v>439</v>
      </c>
      <c r="E26" s="66">
        <v>1</v>
      </c>
      <c r="F26" s="66" t="s">
        <v>448</v>
      </c>
    </row>
    <row r="27" spans="2:9" x14ac:dyDescent="0.3">
      <c r="B27" s="66">
        <v>17</v>
      </c>
      <c r="C27" s="66" t="s">
        <v>157</v>
      </c>
      <c r="D27" s="66" t="s">
        <v>439</v>
      </c>
      <c r="E27" s="66">
        <v>2</v>
      </c>
      <c r="F27" s="66" t="s">
        <v>449</v>
      </c>
    </row>
    <row r="28" spans="2:9" x14ac:dyDescent="0.3">
      <c r="B28" s="68"/>
      <c r="C28" s="68"/>
      <c r="D28" s="68"/>
      <c r="E28" s="68"/>
      <c r="F28" s="68"/>
    </row>
    <row r="29" spans="2:9" x14ac:dyDescent="0.3">
      <c r="B29" s="68"/>
      <c r="C29" s="68"/>
      <c r="D29" s="68"/>
      <c r="E29" s="68"/>
      <c r="F29" s="68"/>
    </row>
    <row r="30" spans="2:9" x14ac:dyDescent="0.3">
      <c r="B30" s="68"/>
      <c r="C30" s="68"/>
      <c r="D30" s="68"/>
      <c r="E30" s="68"/>
      <c r="F30" s="68"/>
    </row>
    <row r="31" spans="2:9" x14ac:dyDescent="0.3">
      <c r="B31" s="68"/>
      <c r="C31" s="68"/>
      <c r="D31" s="68"/>
      <c r="E31" s="68"/>
      <c r="F31" s="68"/>
    </row>
    <row r="32" spans="2:9" x14ac:dyDescent="0.3">
      <c r="B32" s="68"/>
      <c r="C32" s="68"/>
      <c r="D32" s="68"/>
      <c r="E32" s="68"/>
      <c r="F32" s="68"/>
    </row>
    <row r="33" spans="2:6" x14ac:dyDescent="0.3">
      <c r="B33" s="68"/>
      <c r="C33" s="68"/>
      <c r="D33" s="68"/>
      <c r="E33" s="68"/>
      <c r="F33" s="68"/>
    </row>
    <row r="34" spans="2:6" x14ac:dyDescent="0.3">
      <c r="B34" s="68"/>
      <c r="C34" s="68"/>
      <c r="D34" s="68"/>
      <c r="E34" s="68"/>
      <c r="F34" s="68"/>
    </row>
  </sheetData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  <pageSetUpPr fitToPage="1"/>
  </sheetPr>
  <dimension ref="B2:F35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2" max="2" width="29.5546875" customWidth="1"/>
    <col min="3" max="3" width="23.44140625" customWidth="1"/>
    <col min="4" max="4" width="28.44140625" customWidth="1"/>
    <col min="5" max="5" width="8.88671875" customWidth="1"/>
    <col min="6" max="6" width="9.44140625" customWidth="1"/>
  </cols>
  <sheetData>
    <row r="2" spans="2:6" ht="23.25" customHeight="1" x14ac:dyDescent="0.45">
      <c r="B2" s="242" t="s">
        <v>450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451</v>
      </c>
      <c r="C4" s="22">
        <v>17</v>
      </c>
    </row>
    <row r="5" spans="2:6" ht="15" customHeight="1" x14ac:dyDescent="0.3">
      <c r="B5" s="35" t="s">
        <v>288</v>
      </c>
    </row>
    <row r="7" spans="2:6" x14ac:dyDescent="0.3">
      <c r="B7" s="69" t="s">
        <v>289</v>
      </c>
      <c r="C7" s="62">
        <v>5</v>
      </c>
    </row>
    <row r="8" spans="2:6" x14ac:dyDescent="0.3">
      <c r="B8" s="69" t="s">
        <v>147</v>
      </c>
      <c r="C8" s="62">
        <v>12</v>
      </c>
      <c r="D8" s="38" t="s">
        <v>452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41">
        <v>1</v>
      </c>
      <c r="C11" s="41" t="s">
        <v>202</v>
      </c>
      <c r="D11" s="24">
        <v>5</v>
      </c>
    </row>
    <row r="12" spans="2:6" x14ac:dyDescent="0.3">
      <c r="B12" s="41">
        <v>2</v>
      </c>
      <c r="C12" s="41" t="s">
        <v>453</v>
      </c>
      <c r="D12" s="24">
        <v>3</v>
      </c>
    </row>
    <row r="13" spans="2:6" x14ac:dyDescent="0.3">
      <c r="B13" s="41">
        <v>3</v>
      </c>
      <c r="C13" s="41" t="s">
        <v>454</v>
      </c>
      <c r="D13" s="24">
        <v>3</v>
      </c>
    </row>
    <row r="14" spans="2:6" x14ac:dyDescent="0.3">
      <c r="B14" s="41">
        <v>4</v>
      </c>
      <c r="C14" s="41" t="s">
        <v>455</v>
      </c>
      <c r="D14" s="24">
        <v>3</v>
      </c>
    </row>
    <row r="15" spans="2:6" x14ac:dyDescent="0.3">
      <c r="B15" s="41">
        <v>5</v>
      </c>
      <c r="C15" s="41" t="s">
        <v>456</v>
      </c>
      <c r="D15" s="24">
        <v>3</v>
      </c>
    </row>
    <row r="16" spans="2:6" x14ac:dyDescent="0.3">
      <c r="B16" s="41"/>
      <c r="C16" s="42" t="s">
        <v>150</v>
      </c>
      <c r="D16" s="27">
        <f>SUM(D11:D15)</f>
        <v>17</v>
      </c>
    </row>
    <row r="18" spans="2:6" x14ac:dyDescent="0.3">
      <c r="B18" s="7" t="s">
        <v>197</v>
      </c>
      <c r="C18" s="7" t="s">
        <v>151</v>
      </c>
      <c r="D18" s="7" t="s">
        <v>215</v>
      </c>
      <c r="E18" s="7" t="s">
        <v>216</v>
      </c>
      <c r="F18" s="7" t="s">
        <v>217</v>
      </c>
    </row>
    <row r="19" spans="2:6" x14ac:dyDescent="0.3">
      <c r="B19" s="41">
        <v>1</v>
      </c>
      <c r="C19" s="41" t="s">
        <v>158</v>
      </c>
      <c r="D19" s="41" t="s">
        <v>202</v>
      </c>
      <c r="E19" s="41">
        <v>1</v>
      </c>
      <c r="F19" s="41" t="s">
        <v>218</v>
      </c>
    </row>
    <row r="20" spans="2:6" x14ac:dyDescent="0.3">
      <c r="B20" s="41">
        <v>2</v>
      </c>
      <c r="C20" s="41" t="s">
        <v>158</v>
      </c>
      <c r="D20" s="41" t="s">
        <v>202</v>
      </c>
      <c r="E20" s="41">
        <v>2</v>
      </c>
      <c r="F20" s="41" t="s">
        <v>219</v>
      </c>
    </row>
    <row r="21" spans="2:6" x14ac:dyDescent="0.3">
      <c r="B21" s="41">
        <v>3</v>
      </c>
      <c r="C21" s="41" t="s">
        <v>158</v>
      </c>
      <c r="D21" s="41" t="s">
        <v>202</v>
      </c>
      <c r="E21" s="41">
        <v>3</v>
      </c>
      <c r="F21" s="41" t="s">
        <v>220</v>
      </c>
    </row>
    <row r="22" spans="2:6" x14ac:dyDescent="0.3">
      <c r="B22" s="41">
        <v>4</v>
      </c>
      <c r="C22" s="41" t="s">
        <v>158</v>
      </c>
      <c r="D22" s="41" t="s">
        <v>202</v>
      </c>
      <c r="E22" s="41">
        <v>4</v>
      </c>
      <c r="F22" s="41" t="s">
        <v>221</v>
      </c>
    </row>
    <row r="23" spans="2:6" x14ac:dyDescent="0.3">
      <c r="B23" s="41">
        <v>5</v>
      </c>
      <c r="C23" s="41" t="s">
        <v>158</v>
      </c>
      <c r="D23" s="41" t="s">
        <v>202</v>
      </c>
      <c r="E23" s="41">
        <v>5</v>
      </c>
      <c r="F23" s="41" t="s">
        <v>222</v>
      </c>
    </row>
    <row r="24" spans="2:6" x14ac:dyDescent="0.3">
      <c r="B24" s="41">
        <v>6</v>
      </c>
      <c r="C24" s="41" t="s">
        <v>158</v>
      </c>
      <c r="D24" s="41" t="s">
        <v>453</v>
      </c>
      <c r="E24" s="41">
        <v>1</v>
      </c>
      <c r="F24" s="41" t="s">
        <v>457</v>
      </c>
    </row>
    <row r="25" spans="2:6" x14ac:dyDescent="0.3">
      <c r="B25" s="41">
        <v>7</v>
      </c>
      <c r="C25" s="41" t="s">
        <v>158</v>
      </c>
      <c r="D25" s="41" t="s">
        <v>453</v>
      </c>
      <c r="E25" s="41">
        <v>2</v>
      </c>
      <c r="F25" s="41" t="s">
        <v>458</v>
      </c>
    </row>
    <row r="26" spans="2:6" x14ac:dyDescent="0.3">
      <c r="B26" s="41">
        <v>8</v>
      </c>
      <c r="C26" s="41" t="s">
        <v>158</v>
      </c>
      <c r="D26" s="41" t="s">
        <v>453</v>
      </c>
      <c r="E26" s="41">
        <v>3</v>
      </c>
      <c r="F26" s="41" t="s">
        <v>459</v>
      </c>
    </row>
    <row r="27" spans="2:6" x14ac:dyDescent="0.3">
      <c r="B27" s="41">
        <v>9</v>
      </c>
      <c r="C27" s="41" t="s">
        <v>158</v>
      </c>
      <c r="D27" s="41" t="s">
        <v>454</v>
      </c>
      <c r="E27" s="41">
        <v>1</v>
      </c>
      <c r="F27" s="41" t="s">
        <v>460</v>
      </c>
    </row>
    <row r="28" spans="2:6" x14ac:dyDescent="0.3">
      <c r="B28" s="41">
        <v>10</v>
      </c>
      <c r="C28" s="41" t="s">
        <v>158</v>
      </c>
      <c r="D28" s="41" t="s">
        <v>454</v>
      </c>
      <c r="E28" s="41">
        <v>2</v>
      </c>
      <c r="F28" s="41" t="s">
        <v>461</v>
      </c>
    </row>
    <row r="29" spans="2:6" x14ac:dyDescent="0.3">
      <c r="B29" s="41">
        <v>11</v>
      </c>
      <c r="C29" s="41" t="s">
        <v>158</v>
      </c>
      <c r="D29" s="41" t="s">
        <v>454</v>
      </c>
      <c r="E29" s="41">
        <v>3</v>
      </c>
      <c r="F29" s="41" t="s">
        <v>462</v>
      </c>
    </row>
    <row r="30" spans="2:6" x14ac:dyDescent="0.3">
      <c r="B30" s="41">
        <v>12</v>
      </c>
      <c r="C30" s="41" t="s">
        <v>158</v>
      </c>
      <c r="D30" s="41" t="s">
        <v>455</v>
      </c>
      <c r="E30" s="41">
        <v>1</v>
      </c>
      <c r="F30" s="41" t="s">
        <v>463</v>
      </c>
    </row>
    <row r="31" spans="2:6" x14ac:dyDescent="0.3">
      <c r="B31" s="41">
        <v>13</v>
      </c>
      <c r="C31" s="41" t="s">
        <v>158</v>
      </c>
      <c r="D31" s="41" t="s">
        <v>455</v>
      </c>
      <c r="E31" s="41">
        <v>2</v>
      </c>
      <c r="F31" s="41" t="s">
        <v>464</v>
      </c>
    </row>
    <row r="32" spans="2:6" x14ac:dyDescent="0.3">
      <c r="B32" s="41">
        <v>14</v>
      </c>
      <c r="C32" s="41" t="s">
        <v>158</v>
      </c>
      <c r="D32" s="41" t="s">
        <v>455</v>
      </c>
      <c r="E32" s="41">
        <v>3</v>
      </c>
      <c r="F32" s="41" t="s">
        <v>465</v>
      </c>
    </row>
    <row r="33" spans="2:6" x14ac:dyDescent="0.3">
      <c r="B33" s="41">
        <v>15</v>
      </c>
      <c r="C33" s="41" t="s">
        <v>158</v>
      </c>
      <c r="D33" s="41" t="s">
        <v>456</v>
      </c>
      <c r="E33" s="41">
        <v>1</v>
      </c>
      <c r="F33" s="41" t="s">
        <v>466</v>
      </c>
    </row>
    <row r="34" spans="2:6" x14ac:dyDescent="0.3">
      <c r="B34" s="41">
        <v>16</v>
      </c>
      <c r="C34" s="41" t="s">
        <v>158</v>
      </c>
      <c r="D34" s="41" t="s">
        <v>456</v>
      </c>
      <c r="E34" s="41">
        <v>2</v>
      </c>
      <c r="F34" s="41" t="s">
        <v>467</v>
      </c>
    </row>
    <row r="35" spans="2:6" x14ac:dyDescent="0.3">
      <c r="B35" s="41">
        <v>17</v>
      </c>
      <c r="C35" s="41" t="s">
        <v>158</v>
      </c>
      <c r="D35" s="41" t="s">
        <v>456</v>
      </c>
      <c r="E35" s="41">
        <v>3</v>
      </c>
      <c r="F35" s="41" t="s">
        <v>468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  <pageSetUpPr fitToPage="1"/>
  </sheetPr>
  <dimension ref="B2:F43"/>
  <sheetViews>
    <sheetView showGridLines="0" topLeftCell="C1" zoomScaleNormal="90" zoomScalePageLayoutView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469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470</v>
      </c>
      <c r="C4" s="22">
        <v>23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18</v>
      </c>
      <c r="E8" s="38" t="s">
        <v>471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472</v>
      </c>
      <c r="D11" s="40">
        <v>3</v>
      </c>
    </row>
    <row r="12" spans="2:6" x14ac:dyDescent="0.3">
      <c r="B12" s="39">
        <v>2</v>
      </c>
      <c r="C12" s="39" t="s">
        <v>473</v>
      </c>
      <c r="D12" s="40">
        <v>3</v>
      </c>
    </row>
    <row r="13" spans="2:6" x14ac:dyDescent="0.3">
      <c r="B13" s="39">
        <v>3</v>
      </c>
      <c r="C13" s="39" t="s">
        <v>474</v>
      </c>
      <c r="D13" s="40">
        <v>3</v>
      </c>
    </row>
    <row r="14" spans="2:6" x14ac:dyDescent="0.3">
      <c r="B14" s="39">
        <v>4</v>
      </c>
      <c r="C14" s="39" t="s">
        <v>203</v>
      </c>
      <c r="D14" s="40">
        <v>5</v>
      </c>
    </row>
    <row r="15" spans="2:6" x14ac:dyDescent="0.3">
      <c r="B15" s="39">
        <v>5</v>
      </c>
      <c r="C15" s="39" t="s">
        <v>475</v>
      </c>
      <c r="D15" s="40">
        <v>3</v>
      </c>
    </row>
    <row r="16" spans="2:6" x14ac:dyDescent="0.3">
      <c r="B16" s="39">
        <v>6</v>
      </c>
      <c r="C16" s="39" t="s">
        <v>476</v>
      </c>
      <c r="D16" s="40">
        <v>3</v>
      </c>
    </row>
    <row r="17" spans="2:6" x14ac:dyDescent="0.3">
      <c r="B17" s="41">
        <v>7</v>
      </c>
      <c r="C17" s="39" t="s">
        <v>477</v>
      </c>
      <c r="D17" s="40">
        <v>3</v>
      </c>
    </row>
    <row r="18" spans="2:6" x14ac:dyDescent="0.3">
      <c r="C18" s="42" t="s">
        <v>150</v>
      </c>
      <c r="D18" s="43">
        <f>SUM(D11:D17)</f>
        <v>23</v>
      </c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159</v>
      </c>
      <c r="D21" s="41" t="s">
        <v>472</v>
      </c>
      <c r="E21" s="41">
        <v>1</v>
      </c>
      <c r="F21" s="41" t="s">
        <v>478</v>
      </c>
    </row>
    <row r="22" spans="2:6" x14ac:dyDescent="0.3">
      <c r="B22" s="41">
        <v>2</v>
      </c>
      <c r="C22" s="41" t="s">
        <v>159</v>
      </c>
      <c r="D22" s="41" t="s">
        <v>472</v>
      </c>
      <c r="E22" s="41">
        <v>2</v>
      </c>
      <c r="F22" s="41" t="s">
        <v>479</v>
      </c>
    </row>
    <row r="23" spans="2:6" x14ac:dyDescent="0.3">
      <c r="B23" s="41">
        <v>3</v>
      </c>
      <c r="C23" s="41" t="s">
        <v>159</v>
      </c>
      <c r="D23" s="41" t="s">
        <v>472</v>
      </c>
      <c r="E23" s="41">
        <v>3</v>
      </c>
      <c r="F23" s="41" t="s">
        <v>480</v>
      </c>
    </row>
    <row r="24" spans="2:6" x14ac:dyDescent="0.3">
      <c r="B24" s="41">
        <v>4</v>
      </c>
      <c r="C24" s="41" t="s">
        <v>159</v>
      </c>
      <c r="D24" s="41" t="s">
        <v>473</v>
      </c>
      <c r="E24" s="41">
        <v>1</v>
      </c>
      <c r="F24" s="41" t="s">
        <v>481</v>
      </c>
    </row>
    <row r="25" spans="2:6" x14ac:dyDescent="0.3">
      <c r="B25" s="41">
        <v>5</v>
      </c>
      <c r="C25" s="41" t="s">
        <v>159</v>
      </c>
      <c r="D25" s="41" t="s">
        <v>473</v>
      </c>
      <c r="E25" s="41">
        <v>2</v>
      </c>
      <c r="F25" s="41" t="s">
        <v>482</v>
      </c>
    </row>
    <row r="26" spans="2:6" x14ac:dyDescent="0.3">
      <c r="B26" s="41">
        <v>6</v>
      </c>
      <c r="C26" s="41" t="s">
        <v>159</v>
      </c>
      <c r="D26" s="41" t="s">
        <v>473</v>
      </c>
      <c r="E26" s="41">
        <v>3</v>
      </c>
      <c r="F26" s="41" t="s">
        <v>483</v>
      </c>
    </row>
    <row r="27" spans="2:6" x14ac:dyDescent="0.3">
      <c r="B27" s="41">
        <v>7</v>
      </c>
      <c r="C27" s="41" t="s">
        <v>159</v>
      </c>
      <c r="D27" s="41" t="s">
        <v>474</v>
      </c>
      <c r="E27" s="41">
        <v>1</v>
      </c>
      <c r="F27" s="41" t="s">
        <v>484</v>
      </c>
    </row>
    <row r="28" spans="2:6" x14ac:dyDescent="0.3">
      <c r="B28" s="41">
        <v>8</v>
      </c>
      <c r="C28" s="41" t="s">
        <v>159</v>
      </c>
      <c r="D28" s="41" t="s">
        <v>474</v>
      </c>
      <c r="E28" s="41">
        <v>2</v>
      </c>
      <c r="F28" s="41" t="s">
        <v>485</v>
      </c>
    </row>
    <row r="29" spans="2:6" x14ac:dyDescent="0.3">
      <c r="B29" s="41">
        <v>9</v>
      </c>
      <c r="C29" s="41" t="s">
        <v>159</v>
      </c>
      <c r="D29" s="41" t="s">
        <v>474</v>
      </c>
      <c r="E29" s="41">
        <v>3</v>
      </c>
      <c r="F29" s="41" t="s">
        <v>486</v>
      </c>
    </row>
    <row r="30" spans="2:6" x14ac:dyDescent="0.3">
      <c r="B30" s="41">
        <v>10</v>
      </c>
      <c r="C30" s="41" t="s">
        <v>159</v>
      </c>
      <c r="D30" s="41" t="s">
        <v>203</v>
      </c>
      <c r="E30" s="41">
        <v>1</v>
      </c>
      <c r="F30" s="41" t="s">
        <v>223</v>
      </c>
    </row>
    <row r="31" spans="2:6" x14ac:dyDescent="0.3">
      <c r="B31" s="41">
        <v>11</v>
      </c>
      <c r="C31" s="41" t="s">
        <v>159</v>
      </c>
      <c r="D31" s="41" t="s">
        <v>203</v>
      </c>
      <c r="E31" s="41">
        <v>2</v>
      </c>
      <c r="F31" s="41" t="s">
        <v>224</v>
      </c>
    </row>
    <row r="32" spans="2:6" x14ac:dyDescent="0.3">
      <c r="B32" s="41">
        <v>12</v>
      </c>
      <c r="C32" s="41" t="s">
        <v>159</v>
      </c>
      <c r="D32" s="41" t="s">
        <v>203</v>
      </c>
      <c r="E32" s="41">
        <v>3</v>
      </c>
      <c r="F32" s="41" t="s">
        <v>225</v>
      </c>
    </row>
    <row r="33" spans="2:6" x14ac:dyDescent="0.3">
      <c r="B33" s="41">
        <v>13</v>
      </c>
      <c r="C33" s="41" t="s">
        <v>159</v>
      </c>
      <c r="D33" s="41" t="s">
        <v>203</v>
      </c>
      <c r="E33" s="41">
        <v>4</v>
      </c>
      <c r="F33" s="41" t="s">
        <v>226</v>
      </c>
    </row>
    <row r="34" spans="2:6" x14ac:dyDescent="0.3">
      <c r="B34" s="41">
        <v>14</v>
      </c>
      <c r="C34" s="41" t="s">
        <v>159</v>
      </c>
      <c r="D34" s="41" t="s">
        <v>203</v>
      </c>
      <c r="E34" s="41">
        <v>5</v>
      </c>
      <c r="F34" s="41" t="s">
        <v>227</v>
      </c>
    </row>
    <row r="35" spans="2:6" x14ac:dyDescent="0.3">
      <c r="B35" s="41">
        <v>15</v>
      </c>
      <c r="C35" s="41" t="s">
        <v>159</v>
      </c>
      <c r="D35" s="41" t="s">
        <v>475</v>
      </c>
      <c r="E35" s="41">
        <v>1</v>
      </c>
      <c r="F35" s="41" t="s">
        <v>487</v>
      </c>
    </row>
    <row r="36" spans="2:6" x14ac:dyDescent="0.3">
      <c r="B36" s="41">
        <v>16</v>
      </c>
      <c r="C36" s="41" t="s">
        <v>159</v>
      </c>
      <c r="D36" s="41" t="s">
        <v>475</v>
      </c>
      <c r="E36" s="41">
        <v>2</v>
      </c>
      <c r="F36" s="41" t="s">
        <v>488</v>
      </c>
    </row>
    <row r="37" spans="2:6" x14ac:dyDescent="0.3">
      <c r="B37" s="41">
        <v>17</v>
      </c>
      <c r="C37" s="41" t="s">
        <v>159</v>
      </c>
      <c r="D37" s="41" t="s">
        <v>475</v>
      </c>
      <c r="E37" s="41">
        <v>3</v>
      </c>
      <c r="F37" s="41" t="s">
        <v>489</v>
      </c>
    </row>
    <row r="38" spans="2:6" x14ac:dyDescent="0.3">
      <c r="B38" s="41">
        <v>18</v>
      </c>
      <c r="C38" s="41" t="s">
        <v>159</v>
      </c>
      <c r="D38" s="41" t="s">
        <v>476</v>
      </c>
      <c r="E38" s="41">
        <v>1</v>
      </c>
      <c r="F38" s="41" t="s">
        <v>490</v>
      </c>
    </row>
    <row r="39" spans="2:6" x14ac:dyDescent="0.3">
      <c r="B39" s="41">
        <v>19</v>
      </c>
      <c r="C39" s="41" t="s">
        <v>159</v>
      </c>
      <c r="D39" s="41" t="s">
        <v>476</v>
      </c>
      <c r="E39" s="41">
        <v>2</v>
      </c>
      <c r="F39" s="41" t="s">
        <v>491</v>
      </c>
    </row>
    <row r="40" spans="2:6" x14ac:dyDescent="0.3">
      <c r="B40" s="41">
        <v>20</v>
      </c>
      <c r="C40" s="41" t="s">
        <v>159</v>
      </c>
      <c r="D40" s="41" t="s">
        <v>476</v>
      </c>
      <c r="E40" s="41">
        <v>3</v>
      </c>
      <c r="F40" s="41" t="s">
        <v>492</v>
      </c>
    </row>
    <row r="41" spans="2:6" x14ac:dyDescent="0.3">
      <c r="B41" s="41">
        <v>21</v>
      </c>
      <c r="C41" s="41" t="s">
        <v>159</v>
      </c>
      <c r="D41" s="41" t="s">
        <v>477</v>
      </c>
      <c r="E41" s="41">
        <v>1</v>
      </c>
      <c r="F41" s="41" t="s">
        <v>493</v>
      </c>
    </row>
    <row r="42" spans="2:6" x14ac:dyDescent="0.3">
      <c r="B42" s="41">
        <v>22</v>
      </c>
      <c r="C42" s="41" t="s">
        <v>159</v>
      </c>
      <c r="D42" s="41" t="s">
        <v>477</v>
      </c>
      <c r="E42" s="41">
        <v>2</v>
      </c>
      <c r="F42" s="41" t="s">
        <v>494</v>
      </c>
    </row>
    <row r="43" spans="2:6" x14ac:dyDescent="0.3">
      <c r="B43" s="41">
        <v>23</v>
      </c>
      <c r="C43" s="41" t="s">
        <v>159</v>
      </c>
      <c r="D43" s="41" t="s">
        <v>477</v>
      </c>
      <c r="E43" s="41">
        <v>3</v>
      </c>
      <c r="F43" s="41" t="s">
        <v>495</v>
      </c>
    </row>
  </sheetData>
  <mergeCells count="1">
    <mergeCell ref="B2:F2"/>
  </mergeCells>
  <pageMargins left="0.25" right="0.25" top="0.75" bottom="0.75" header="0.3" footer="0.3"/>
  <pageSetup paperSize="9" scale="81" fitToHeight="0" orientation="landscape" horizontalDpi="300" verticalDpi="300" r:id="rId1"/>
  <headerFooter>
    <oddFooter>&amp;LPulse Oximetry allocation&amp;C&amp;A&amp;R&amp;P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  <pageSetUpPr fitToPage="1"/>
  </sheetPr>
  <dimension ref="B1:I74"/>
  <sheetViews>
    <sheetView showGridLines="0" topLeftCell="A2" zoomScaleNormal="90" zoomScalePageLayoutView="90" workbookViewId="0">
      <selection activeCell="C8" sqref="C8"/>
    </sheetView>
  </sheetViews>
  <sheetFormatPr defaultColWidth="8.5546875" defaultRowHeight="14.4" x14ac:dyDescent="0.3"/>
  <cols>
    <col min="3" max="3" width="28.109375" customWidth="1"/>
    <col min="4" max="4" width="14.5546875" customWidth="1"/>
    <col min="5" max="5" width="29.109375" customWidth="1"/>
    <col min="6" max="6" width="9.44140625" customWidth="1"/>
    <col min="7" max="7" width="8.109375" customWidth="1"/>
    <col min="8" max="8" width="10.44140625" customWidth="1"/>
    <col min="9" max="9" width="10" customWidth="1"/>
  </cols>
  <sheetData>
    <row r="1" spans="2:9" ht="14.25" customHeight="1" x14ac:dyDescent="0.3">
      <c r="B1" s="3"/>
      <c r="C1" s="3"/>
      <c r="D1" s="3"/>
      <c r="E1" s="3"/>
      <c r="F1" s="3"/>
      <c r="G1" s="3"/>
      <c r="H1" s="3"/>
      <c r="I1" s="3"/>
    </row>
    <row r="2" spans="2:9" ht="19.5" customHeight="1" x14ac:dyDescent="0.4">
      <c r="B2" s="3"/>
      <c r="C2" s="243" t="s">
        <v>496</v>
      </c>
      <c r="D2" s="243"/>
      <c r="E2" s="243"/>
      <c r="F2" s="243"/>
      <c r="G2" s="243"/>
      <c r="H2" s="243"/>
      <c r="I2" s="243"/>
    </row>
    <row r="3" spans="2:9" ht="15" customHeight="1" x14ac:dyDescent="0.3">
      <c r="B3" s="3"/>
      <c r="C3" s="202"/>
      <c r="D3" s="70"/>
      <c r="E3" s="70"/>
      <c r="F3" s="70"/>
      <c r="G3" s="70"/>
      <c r="H3" s="70"/>
      <c r="I3" s="70"/>
    </row>
    <row r="4" spans="2:9" ht="14.25" customHeight="1" x14ac:dyDescent="0.3">
      <c r="B4" s="3"/>
      <c r="C4" s="3"/>
      <c r="D4" s="3"/>
      <c r="E4" s="3"/>
      <c r="F4" s="3"/>
      <c r="G4" s="3"/>
      <c r="H4" s="3"/>
      <c r="I4" s="3"/>
    </row>
    <row r="5" spans="2:9" ht="18" customHeight="1" x14ac:dyDescent="0.35">
      <c r="B5" s="4" t="s">
        <v>497</v>
      </c>
      <c r="C5" s="4"/>
      <c r="D5" s="3"/>
      <c r="E5" s="5">
        <f>SUM(F13:F25)</f>
        <v>45</v>
      </c>
      <c r="F5" s="3"/>
      <c r="G5" s="3"/>
      <c r="H5" s="3"/>
      <c r="I5" s="3"/>
    </row>
    <row r="6" spans="2:9" ht="14.25" customHeight="1" x14ac:dyDescent="0.35">
      <c r="B6" s="3"/>
      <c r="C6" s="6" t="s">
        <v>288</v>
      </c>
      <c r="D6" s="71"/>
      <c r="E6" s="72"/>
      <c r="F6" s="71"/>
      <c r="G6" s="71"/>
      <c r="H6" s="71"/>
      <c r="I6" s="71"/>
    </row>
    <row r="7" spans="2:9" ht="14.25" customHeight="1" x14ac:dyDescent="0.3">
      <c r="B7" s="3"/>
      <c r="C7" s="4"/>
      <c r="D7" s="3" t="s">
        <v>498</v>
      </c>
      <c r="E7" s="3" t="s">
        <v>499</v>
      </c>
      <c r="F7" s="3"/>
      <c r="G7" s="3"/>
      <c r="H7" s="3"/>
      <c r="I7" s="3"/>
    </row>
    <row r="8" spans="2:9" ht="14.25" customHeight="1" x14ac:dyDescent="0.3">
      <c r="B8" s="19"/>
      <c r="C8" s="73" t="s">
        <v>146</v>
      </c>
      <c r="D8" s="74">
        <f>COUNTIF(E13:E25,"*Referral*")</f>
        <v>1</v>
      </c>
      <c r="E8" s="75">
        <f>SUMIF(E13:E25,"*Referral*",F13:F25)</f>
        <v>7</v>
      </c>
      <c r="F8" s="3"/>
      <c r="G8" s="3"/>
      <c r="H8" s="3"/>
      <c r="I8" s="3"/>
    </row>
    <row r="9" spans="2:9" ht="14.25" customHeight="1" x14ac:dyDescent="0.3">
      <c r="B9" s="19"/>
      <c r="C9" s="73" t="s">
        <v>147</v>
      </c>
      <c r="D9" s="74">
        <f>COUNTIF(E13:E25,"*sub county*")</f>
        <v>10</v>
      </c>
      <c r="E9" s="75">
        <f>SUMIF(E13:E25,"*sub county*",F13:F25)</f>
        <v>32</v>
      </c>
      <c r="F9" s="3"/>
      <c r="G9" s="3"/>
      <c r="H9" s="3"/>
      <c r="I9" s="3"/>
    </row>
    <row r="10" spans="2:9" ht="14.25" customHeight="1" x14ac:dyDescent="0.3">
      <c r="B10" s="19"/>
      <c r="C10" s="76" t="s">
        <v>149</v>
      </c>
      <c r="D10" s="77">
        <f>COUNTIF(E13:E25,"*hospital*")-COUNTIF(E13:E25,"*sub county*")-COUNTIF(E13:E25,"*referral*")</f>
        <v>2</v>
      </c>
      <c r="E10" s="75">
        <f>SUMIF(E13:E25,"*Adventist*",F13:F25)+SUMIF(E13:E25,"*Matata*",F13:F25)</f>
        <v>6</v>
      </c>
      <c r="F10" s="3"/>
      <c r="G10" s="3"/>
      <c r="H10" s="3"/>
      <c r="I10" s="3"/>
    </row>
    <row r="11" spans="2:9" ht="14.25" customHeight="1" x14ac:dyDescent="0.3">
      <c r="B11" s="19"/>
      <c r="C11" s="78"/>
      <c r="D11" s="79"/>
      <c r="E11" s="3"/>
      <c r="F11" s="3"/>
      <c r="G11" s="3"/>
      <c r="H11" s="3"/>
      <c r="I11" s="3"/>
    </row>
    <row r="12" spans="2:9" x14ac:dyDescent="0.3">
      <c r="B12" s="80"/>
      <c r="C12" s="81" t="s">
        <v>197</v>
      </c>
      <c r="D12" s="82" t="s">
        <v>151</v>
      </c>
      <c r="E12" s="7" t="s">
        <v>215</v>
      </c>
      <c r="F12" s="7" t="s">
        <v>150</v>
      </c>
      <c r="H12" s="83" t="s">
        <v>500</v>
      </c>
    </row>
    <row r="13" spans="2:9" ht="14.25" customHeight="1" x14ac:dyDescent="0.3">
      <c r="B13" s="80"/>
      <c r="C13" s="20">
        <v>1</v>
      </c>
      <c r="D13" s="17" t="s">
        <v>160</v>
      </c>
      <c r="E13" s="84" t="s">
        <v>501</v>
      </c>
      <c r="F13" s="10">
        <v>7</v>
      </c>
      <c r="H13" s="85" t="s">
        <v>502</v>
      </c>
    </row>
    <row r="14" spans="2:9" ht="14.25" customHeight="1" x14ac:dyDescent="0.3">
      <c r="B14" s="80"/>
      <c r="C14" s="20">
        <v>2</v>
      </c>
      <c r="D14" s="17" t="s">
        <v>160</v>
      </c>
      <c r="E14" s="84" t="s">
        <v>503</v>
      </c>
      <c r="F14" s="10">
        <v>5</v>
      </c>
      <c r="H14" s="86" t="s">
        <v>504</v>
      </c>
    </row>
    <row r="15" spans="2:9" ht="14.25" customHeight="1" x14ac:dyDescent="0.3">
      <c r="B15" s="80"/>
      <c r="C15" s="20">
        <v>3</v>
      </c>
      <c r="D15" s="17" t="s">
        <v>160</v>
      </c>
      <c r="E15" s="84" t="s">
        <v>505</v>
      </c>
      <c r="F15" s="10">
        <v>3</v>
      </c>
      <c r="H15" s="86" t="s">
        <v>506</v>
      </c>
    </row>
    <row r="16" spans="2:9" ht="14.25" customHeight="1" x14ac:dyDescent="0.3">
      <c r="B16" s="80"/>
      <c r="C16" s="20">
        <v>4</v>
      </c>
      <c r="D16" s="17" t="s">
        <v>160</v>
      </c>
      <c r="E16" s="84" t="s">
        <v>507</v>
      </c>
      <c r="F16" s="10">
        <v>3</v>
      </c>
      <c r="H16" s="86" t="s">
        <v>508</v>
      </c>
    </row>
    <row r="17" spans="2:9" ht="14.25" customHeight="1" x14ac:dyDescent="0.3">
      <c r="B17" s="80"/>
      <c r="C17" s="20">
        <v>5</v>
      </c>
      <c r="D17" s="17" t="s">
        <v>160</v>
      </c>
      <c r="E17" s="84" t="s">
        <v>509</v>
      </c>
      <c r="F17" s="10">
        <v>3</v>
      </c>
      <c r="H17" s="86" t="s">
        <v>510</v>
      </c>
    </row>
    <row r="18" spans="2:9" ht="14.25" customHeight="1" x14ac:dyDescent="0.3">
      <c r="B18" s="80"/>
      <c r="C18" s="20">
        <v>6</v>
      </c>
      <c r="D18" s="17" t="s">
        <v>160</v>
      </c>
      <c r="E18" s="84" t="s">
        <v>511</v>
      </c>
      <c r="F18" s="10">
        <v>3</v>
      </c>
      <c r="H18" s="87" t="s">
        <v>512</v>
      </c>
    </row>
    <row r="19" spans="2:9" ht="14.25" customHeight="1" x14ac:dyDescent="0.3">
      <c r="B19" s="80"/>
      <c r="C19" s="20">
        <v>7</v>
      </c>
      <c r="D19" s="17" t="s">
        <v>160</v>
      </c>
      <c r="E19" s="84" t="s">
        <v>513</v>
      </c>
      <c r="F19" s="10">
        <v>3</v>
      </c>
    </row>
    <row r="20" spans="2:9" ht="14.25" customHeight="1" x14ac:dyDescent="0.3">
      <c r="B20" s="80"/>
      <c r="C20" s="20">
        <v>8</v>
      </c>
      <c r="D20" s="17" t="s">
        <v>160</v>
      </c>
      <c r="E20" s="84" t="s">
        <v>514</v>
      </c>
      <c r="F20" s="10">
        <v>3</v>
      </c>
    </row>
    <row r="21" spans="2:9" ht="14.25" customHeight="1" x14ac:dyDescent="0.3">
      <c r="B21" s="80"/>
      <c r="C21" s="20">
        <v>9</v>
      </c>
      <c r="D21" s="17" t="s">
        <v>160</v>
      </c>
      <c r="E21" s="84" t="s">
        <v>515</v>
      </c>
      <c r="F21" s="10">
        <v>3</v>
      </c>
    </row>
    <row r="22" spans="2:9" ht="14.25" customHeight="1" x14ac:dyDescent="0.3">
      <c r="B22" s="80"/>
      <c r="C22" s="20">
        <v>10</v>
      </c>
      <c r="D22" s="17" t="s">
        <v>160</v>
      </c>
      <c r="E22" s="84" t="s">
        <v>516</v>
      </c>
      <c r="F22" s="10">
        <v>3</v>
      </c>
    </row>
    <row r="23" spans="2:9" ht="14.25" customHeight="1" x14ac:dyDescent="0.3">
      <c r="B23" s="80"/>
      <c r="C23" s="20">
        <v>11</v>
      </c>
      <c r="D23" s="17" t="s">
        <v>160</v>
      </c>
      <c r="E23" s="84" t="s">
        <v>517</v>
      </c>
      <c r="F23" s="10">
        <v>3</v>
      </c>
    </row>
    <row r="24" spans="2:9" ht="14.25" customHeight="1" x14ac:dyDescent="0.3">
      <c r="B24" s="80"/>
      <c r="C24" s="20">
        <v>12</v>
      </c>
      <c r="D24" s="17" t="s">
        <v>160</v>
      </c>
      <c r="E24" s="84" t="s">
        <v>518</v>
      </c>
      <c r="F24" s="88">
        <v>3</v>
      </c>
    </row>
    <row r="25" spans="2:9" ht="14.25" customHeight="1" x14ac:dyDescent="0.3">
      <c r="B25" s="80"/>
      <c r="C25" s="20">
        <v>13</v>
      </c>
      <c r="D25" s="17" t="s">
        <v>160</v>
      </c>
      <c r="E25" s="89" t="s">
        <v>519</v>
      </c>
      <c r="F25" s="10">
        <v>3</v>
      </c>
    </row>
    <row r="26" spans="2:9" x14ac:dyDescent="0.3">
      <c r="B26" s="80"/>
      <c r="C26" s="90"/>
      <c r="D26" s="91"/>
      <c r="E26" s="92" t="s">
        <v>150</v>
      </c>
      <c r="F26" s="93">
        <f>SUM(F13:F25)</f>
        <v>45</v>
      </c>
      <c r="G26" s="94"/>
      <c r="H26" s="94"/>
      <c r="I26" s="95"/>
    </row>
    <row r="29" spans="2:9" x14ac:dyDescent="0.3">
      <c r="C29" s="7" t="s">
        <v>215</v>
      </c>
      <c r="D29" s="7" t="s">
        <v>216</v>
      </c>
      <c r="E29" s="7" t="s">
        <v>217</v>
      </c>
    </row>
    <row r="30" spans="2:9" x14ac:dyDescent="0.3">
      <c r="B30">
        <v>1</v>
      </c>
      <c r="C30" s="96" t="s">
        <v>501</v>
      </c>
      <c r="D30" s="13">
        <v>1</v>
      </c>
      <c r="E30" s="13" t="s">
        <v>520</v>
      </c>
    </row>
    <row r="31" spans="2:9" x14ac:dyDescent="0.3">
      <c r="B31">
        <v>2</v>
      </c>
      <c r="C31" s="96" t="s">
        <v>501</v>
      </c>
      <c r="D31" s="13">
        <v>2</v>
      </c>
      <c r="E31" s="13" t="s">
        <v>521</v>
      </c>
    </row>
    <row r="32" spans="2:9" x14ac:dyDescent="0.3">
      <c r="B32">
        <v>3</v>
      </c>
      <c r="C32" s="96" t="s">
        <v>501</v>
      </c>
      <c r="D32" s="13">
        <v>3</v>
      </c>
      <c r="E32" s="13" t="s">
        <v>522</v>
      </c>
    </row>
    <row r="33" spans="2:5" x14ac:dyDescent="0.3">
      <c r="B33">
        <v>4</v>
      </c>
      <c r="C33" s="96" t="s">
        <v>501</v>
      </c>
      <c r="D33" s="13">
        <v>4</v>
      </c>
      <c r="E33" s="13" t="s">
        <v>523</v>
      </c>
    </row>
    <row r="34" spans="2:5" x14ac:dyDescent="0.3">
      <c r="B34">
        <v>5</v>
      </c>
      <c r="C34" s="96" t="s">
        <v>501</v>
      </c>
      <c r="D34" s="13">
        <v>5</v>
      </c>
      <c r="E34" s="13" t="s">
        <v>524</v>
      </c>
    </row>
    <row r="35" spans="2:5" x14ac:dyDescent="0.3">
      <c r="B35">
        <v>6</v>
      </c>
      <c r="C35" s="96" t="s">
        <v>501</v>
      </c>
      <c r="D35" s="13">
        <v>6</v>
      </c>
      <c r="E35" s="13" t="s">
        <v>525</v>
      </c>
    </row>
    <row r="36" spans="2:5" x14ac:dyDescent="0.3">
      <c r="B36">
        <v>7</v>
      </c>
      <c r="C36" s="96" t="s">
        <v>501</v>
      </c>
      <c r="D36" s="13">
        <v>7</v>
      </c>
      <c r="E36" s="13" t="s">
        <v>526</v>
      </c>
    </row>
    <row r="37" spans="2:5" x14ac:dyDescent="0.3">
      <c r="B37">
        <v>8</v>
      </c>
      <c r="C37" s="96" t="s">
        <v>503</v>
      </c>
      <c r="D37" s="13">
        <v>1</v>
      </c>
      <c r="E37" s="13" t="s">
        <v>527</v>
      </c>
    </row>
    <row r="38" spans="2:5" x14ac:dyDescent="0.3">
      <c r="B38">
        <v>9</v>
      </c>
      <c r="C38" s="96" t="s">
        <v>503</v>
      </c>
      <c r="D38" s="13">
        <v>2</v>
      </c>
      <c r="E38" s="13" t="s">
        <v>528</v>
      </c>
    </row>
    <row r="39" spans="2:5" x14ac:dyDescent="0.3">
      <c r="B39">
        <v>10</v>
      </c>
      <c r="C39" s="96" t="s">
        <v>503</v>
      </c>
      <c r="D39" s="13">
        <v>3</v>
      </c>
      <c r="E39" s="13" t="s">
        <v>529</v>
      </c>
    </row>
    <row r="40" spans="2:5" x14ac:dyDescent="0.3">
      <c r="B40">
        <v>11</v>
      </c>
      <c r="C40" s="96" t="s">
        <v>503</v>
      </c>
      <c r="D40" s="13">
        <v>4</v>
      </c>
      <c r="E40" s="13" t="s">
        <v>530</v>
      </c>
    </row>
    <row r="41" spans="2:5" x14ac:dyDescent="0.3">
      <c r="B41">
        <v>12</v>
      </c>
      <c r="C41" s="96" t="s">
        <v>503</v>
      </c>
      <c r="D41" s="13">
        <v>5</v>
      </c>
      <c r="E41" s="13" t="s">
        <v>531</v>
      </c>
    </row>
    <row r="42" spans="2:5" x14ac:dyDescent="0.3">
      <c r="B42">
        <v>13</v>
      </c>
      <c r="C42" s="96" t="s">
        <v>505</v>
      </c>
      <c r="D42" s="13">
        <v>1</v>
      </c>
      <c r="E42" s="13" t="s">
        <v>532</v>
      </c>
    </row>
    <row r="43" spans="2:5" x14ac:dyDescent="0.3">
      <c r="B43">
        <v>14</v>
      </c>
      <c r="C43" s="96" t="s">
        <v>505</v>
      </c>
      <c r="D43" s="13">
        <v>2</v>
      </c>
      <c r="E43" s="13" t="s">
        <v>533</v>
      </c>
    </row>
    <row r="44" spans="2:5" x14ac:dyDescent="0.3">
      <c r="B44">
        <v>15</v>
      </c>
      <c r="C44" s="96" t="s">
        <v>505</v>
      </c>
      <c r="D44" s="13">
        <v>3</v>
      </c>
      <c r="E44" s="13" t="s">
        <v>534</v>
      </c>
    </row>
    <row r="45" spans="2:5" x14ac:dyDescent="0.3">
      <c r="B45">
        <v>16</v>
      </c>
      <c r="C45" s="96" t="s">
        <v>507</v>
      </c>
      <c r="D45" s="13">
        <v>1</v>
      </c>
      <c r="E45" s="13" t="s">
        <v>535</v>
      </c>
    </row>
    <row r="46" spans="2:5" x14ac:dyDescent="0.3">
      <c r="B46">
        <v>17</v>
      </c>
      <c r="C46" s="96" t="s">
        <v>507</v>
      </c>
      <c r="D46" s="13">
        <v>2</v>
      </c>
      <c r="E46" s="13" t="s">
        <v>536</v>
      </c>
    </row>
    <row r="47" spans="2:5" x14ac:dyDescent="0.3">
      <c r="B47">
        <v>18</v>
      </c>
      <c r="C47" s="96" t="s">
        <v>507</v>
      </c>
      <c r="D47" s="13">
        <v>3</v>
      </c>
      <c r="E47" s="13" t="s">
        <v>537</v>
      </c>
    </row>
    <row r="48" spans="2:5" x14ac:dyDescent="0.3">
      <c r="B48">
        <v>19</v>
      </c>
      <c r="C48" s="96" t="s">
        <v>509</v>
      </c>
      <c r="D48" s="13">
        <v>1</v>
      </c>
      <c r="E48" s="13" t="s">
        <v>538</v>
      </c>
    </row>
    <row r="49" spans="2:5" x14ac:dyDescent="0.3">
      <c r="B49">
        <v>20</v>
      </c>
      <c r="C49" s="96" t="s">
        <v>509</v>
      </c>
      <c r="D49" s="13">
        <v>2</v>
      </c>
      <c r="E49" s="13" t="s">
        <v>539</v>
      </c>
    </row>
    <row r="50" spans="2:5" x14ac:dyDescent="0.3">
      <c r="B50">
        <v>21</v>
      </c>
      <c r="C50" s="96" t="s">
        <v>509</v>
      </c>
      <c r="D50" s="13">
        <v>3</v>
      </c>
      <c r="E50" s="13" t="s">
        <v>540</v>
      </c>
    </row>
    <row r="51" spans="2:5" x14ac:dyDescent="0.3">
      <c r="B51">
        <v>22</v>
      </c>
      <c r="C51" s="96" t="s">
        <v>511</v>
      </c>
      <c r="D51" s="13">
        <v>1</v>
      </c>
      <c r="E51" s="13" t="s">
        <v>541</v>
      </c>
    </row>
    <row r="52" spans="2:5" x14ac:dyDescent="0.3">
      <c r="B52">
        <v>23</v>
      </c>
      <c r="C52" s="96" t="s">
        <v>511</v>
      </c>
      <c r="D52" s="13">
        <v>2</v>
      </c>
      <c r="E52" s="13" t="s">
        <v>542</v>
      </c>
    </row>
    <row r="53" spans="2:5" x14ac:dyDescent="0.3">
      <c r="B53">
        <v>24</v>
      </c>
      <c r="C53" s="96" t="s">
        <v>511</v>
      </c>
      <c r="D53" s="13">
        <v>3</v>
      </c>
      <c r="E53" s="13" t="s">
        <v>543</v>
      </c>
    </row>
    <row r="54" spans="2:5" x14ac:dyDescent="0.3">
      <c r="B54">
        <v>25</v>
      </c>
      <c r="C54" s="96" t="s">
        <v>513</v>
      </c>
      <c r="D54" s="13">
        <v>1</v>
      </c>
      <c r="E54" s="13" t="s">
        <v>544</v>
      </c>
    </row>
    <row r="55" spans="2:5" x14ac:dyDescent="0.3">
      <c r="B55">
        <v>26</v>
      </c>
      <c r="C55" s="96" t="s">
        <v>513</v>
      </c>
      <c r="D55" s="13">
        <v>2</v>
      </c>
      <c r="E55" s="13" t="s">
        <v>545</v>
      </c>
    </row>
    <row r="56" spans="2:5" x14ac:dyDescent="0.3">
      <c r="B56">
        <v>27</v>
      </c>
      <c r="C56" s="96" t="s">
        <v>513</v>
      </c>
      <c r="D56" s="13">
        <v>3</v>
      </c>
      <c r="E56" s="13" t="s">
        <v>546</v>
      </c>
    </row>
    <row r="57" spans="2:5" x14ac:dyDescent="0.3">
      <c r="B57">
        <v>28</v>
      </c>
      <c r="C57" s="96" t="s">
        <v>514</v>
      </c>
      <c r="D57" s="13">
        <v>1</v>
      </c>
      <c r="E57" s="13" t="s">
        <v>547</v>
      </c>
    </row>
    <row r="58" spans="2:5" x14ac:dyDescent="0.3">
      <c r="B58">
        <v>29</v>
      </c>
      <c r="C58" s="96" t="s">
        <v>514</v>
      </c>
      <c r="D58" s="13">
        <v>2</v>
      </c>
      <c r="E58" s="13" t="s">
        <v>548</v>
      </c>
    </row>
    <row r="59" spans="2:5" x14ac:dyDescent="0.3">
      <c r="B59">
        <v>30</v>
      </c>
      <c r="C59" s="96" t="s">
        <v>514</v>
      </c>
      <c r="D59" s="13">
        <v>3</v>
      </c>
      <c r="E59" s="13" t="s">
        <v>549</v>
      </c>
    </row>
    <row r="60" spans="2:5" x14ac:dyDescent="0.3">
      <c r="B60">
        <v>31</v>
      </c>
      <c r="C60" s="96" t="s">
        <v>515</v>
      </c>
      <c r="D60" s="13">
        <v>1</v>
      </c>
      <c r="E60" s="13" t="s">
        <v>550</v>
      </c>
    </row>
    <row r="61" spans="2:5" x14ac:dyDescent="0.3">
      <c r="B61">
        <v>32</v>
      </c>
      <c r="C61" s="96" t="s">
        <v>515</v>
      </c>
      <c r="D61" s="13">
        <v>2</v>
      </c>
      <c r="E61" s="13" t="s">
        <v>551</v>
      </c>
    </row>
    <row r="62" spans="2:5" x14ac:dyDescent="0.3">
      <c r="B62">
        <v>33</v>
      </c>
      <c r="C62" s="96" t="s">
        <v>515</v>
      </c>
      <c r="D62" s="13">
        <v>3</v>
      </c>
      <c r="E62" s="13" t="s">
        <v>552</v>
      </c>
    </row>
    <row r="63" spans="2:5" x14ac:dyDescent="0.3">
      <c r="B63">
        <v>34</v>
      </c>
      <c r="C63" s="96" t="s">
        <v>516</v>
      </c>
      <c r="D63" s="13">
        <v>1</v>
      </c>
      <c r="E63" s="13" t="s">
        <v>553</v>
      </c>
    </row>
    <row r="64" spans="2:5" x14ac:dyDescent="0.3">
      <c r="B64">
        <v>35</v>
      </c>
      <c r="C64" s="96" t="s">
        <v>516</v>
      </c>
      <c r="D64" s="13">
        <v>2</v>
      </c>
      <c r="E64" s="13" t="s">
        <v>554</v>
      </c>
    </row>
    <row r="65" spans="2:5" x14ac:dyDescent="0.3">
      <c r="B65">
        <v>36</v>
      </c>
      <c r="C65" s="96" t="s">
        <v>516</v>
      </c>
      <c r="D65" s="13">
        <v>3</v>
      </c>
      <c r="E65" s="13" t="s">
        <v>555</v>
      </c>
    </row>
    <row r="66" spans="2:5" x14ac:dyDescent="0.3">
      <c r="B66">
        <v>37</v>
      </c>
      <c r="C66" s="96" t="s">
        <v>517</v>
      </c>
      <c r="D66" s="13">
        <v>1</v>
      </c>
      <c r="E66" s="13" t="s">
        <v>556</v>
      </c>
    </row>
    <row r="67" spans="2:5" x14ac:dyDescent="0.3">
      <c r="B67">
        <v>38</v>
      </c>
      <c r="C67" s="96" t="s">
        <v>517</v>
      </c>
      <c r="D67" s="13">
        <v>2</v>
      </c>
      <c r="E67" s="13" t="s">
        <v>557</v>
      </c>
    </row>
    <row r="68" spans="2:5" x14ac:dyDescent="0.3">
      <c r="B68">
        <v>39</v>
      </c>
      <c r="C68" s="96" t="s">
        <v>517</v>
      </c>
      <c r="D68" s="13">
        <v>3</v>
      </c>
      <c r="E68" s="13" t="s">
        <v>558</v>
      </c>
    </row>
    <row r="69" spans="2:5" x14ac:dyDescent="0.3">
      <c r="B69">
        <v>40</v>
      </c>
      <c r="C69" s="96" t="s">
        <v>518</v>
      </c>
      <c r="D69" s="13">
        <v>1</v>
      </c>
      <c r="E69" s="13" t="s">
        <v>559</v>
      </c>
    </row>
    <row r="70" spans="2:5" x14ac:dyDescent="0.3">
      <c r="B70">
        <v>41</v>
      </c>
      <c r="C70" s="96" t="s">
        <v>518</v>
      </c>
      <c r="D70" s="13">
        <v>2</v>
      </c>
      <c r="E70" s="13" t="s">
        <v>560</v>
      </c>
    </row>
    <row r="71" spans="2:5" x14ac:dyDescent="0.3">
      <c r="B71">
        <v>42</v>
      </c>
      <c r="C71" s="96" t="s">
        <v>518</v>
      </c>
      <c r="D71" s="13">
        <v>3</v>
      </c>
      <c r="E71" s="13" t="s">
        <v>561</v>
      </c>
    </row>
    <row r="72" spans="2:5" x14ac:dyDescent="0.3">
      <c r="B72">
        <v>43</v>
      </c>
      <c r="C72" s="96" t="s">
        <v>519</v>
      </c>
      <c r="D72" s="13">
        <v>1</v>
      </c>
      <c r="E72" s="13" t="s">
        <v>562</v>
      </c>
    </row>
    <row r="73" spans="2:5" x14ac:dyDescent="0.3">
      <c r="B73">
        <v>44</v>
      </c>
      <c r="C73" s="96" t="s">
        <v>519</v>
      </c>
      <c r="D73" s="13">
        <v>2</v>
      </c>
      <c r="E73" s="13" t="s">
        <v>563</v>
      </c>
    </row>
    <row r="74" spans="2:5" x14ac:dyDescent="0.3">
      <c r="B74">
        <v>45</v>
      </c>
      <c r="C74" s="96" t="s">
        <v>519</v>
      </c>
      <c r="D74" s="13">
        <v>3</v>
      </c>
      <c r="E74" s="13" t="s">
        <v>564</v>
      </c>
    </row>
  </sheetData>
  <mergeCells count="1">
    <mergeCell ref="C2:I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249977111117893"/>
    <pageSetUpPr fitToPage="1"/>
  </sheetPr>
  <dimension ref="B2:F27"/>
  <sheetViews>
    <sheetView showGridLines="0" view="pageLayout" topLeftCell="B6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565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566</v>
      </c>
      <c r="C4" s="22">
        <v>11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6</v>
      </c>
      <c r="E8" s="38" t="s">
        <v>567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568</v>
      </c>
      <c r="D11" s="40">
        <v>3</v>
      </c>
    </row>
    <row r="12" spans="2:6" x14ac:dyDescent="0.3">
      <c r="B12" s="39">
        <v>2</v>
      </c>
      <c r="C12" s="39" t="s">
        <v>569</v>
      </c>
      <c r="D12" s="40">
        <v>5</v>
      </c>
    </row>
    <row r="13" spans="2:6" x14ac:dyDescent="0.3">
      <c r="B13" s="41">
        <v>3</v>
      </c>
      <c r="C13" s="39" t="s">
        <v>570</v>
      </c>
      <c r="D13" s="40">
        <v>3</v>
      </c>
    </row>
    <row r="14" spans="2:6" x14ac:dyDescent="0.3">
      <c r="C14" s="97" t="s">
        <v>150</v>
      </c>
      <c r="D14" s="43">
        <f>SUM(D11:D13)</f>
        <v>11</v>
      </c>
    </row>
    <row r="16" spans="2:6" x14ac:dyDescent="0.3">
      <c r="B16" s="7" t="s">
        <v>197</v>
      </c>
      <c r="C16" s="7" t="s">
        <v>151</v>
      </c>
      <c r="D16" s="7" t="s">
        <v>215</v>
      </c>
      <c r="E16" s="7" t="s">
        <v>216</v>
      </c>
      <c r="F16" s="7" t="s">
        <v>217</v>
      </c>
    </row>
    <row r="17" spans="2:6" x14ac:dyDescent="0.3">
      <c r="B17" s="41">
        <v>1</v>
      </c>
      <c r="C17" s="41" t="s">
        <v>161</v>
      </c>
      <c r="D17" s="41" t="s">
        <v>568</v>
      </c>
      <c r="E17" s="41">
        <v>1</v>
      </c>
      <c r="F17" s="41" t="s">
        <v>571</v>
      </c>
    </row>
    <row r="18" spans="2:6" x14ac:dyDescent="0.3">
      <c r="B18" s="41">
        <v>2</v>
      </c>
      <c r="C18" s="41" t="s">
        <v>161</v>
      </c>
      <c r="D18" s="41" t="s">
        <v>568</v>
      </c>
      <c r="E18" s="41">
        <v>2</v>
      </c>
      <c r="F18" s="41" t="s">
        <v>572</v>
      </c>
    </row>
    <row r="19" spans="2:6" x14ac:dyDescent="0.3">
      <c r="B19" s="41">
        <v>3</v>
      </c>
      <c r="C19" s="41" t="s">
        <v>161</v>
      </c>
      <c r="D19" s="41" t="s">
        <v>568</v>
      </c>
      <c r="E19" s="41">
        <v>3</v>
      </c>
      <c r="F19" s="41" t="s">
        <v>573</v>
      </c>
    </row>
    <row r="20" spans="2:6" x14ac:dyDescent="0.3">
      <c r="B20" s="41">
        <v>4</v>
      </c>
      <c r="C20" s="41" t="s">
        <v>161</v>
      </c>
      <c r="D20" s="41" t="s">
        <v>569</v>
      </c>
      <c r="E20" s="41">
        <v>1</v>
      </c>
      <c r="F20" s="41" t="s">
        <v>574</v>
      </c>
    </row>
    <row r="21" spans="2:6" x14ac:dyDescent="0.3">
      <c r="B21" s="41">
        <v>5</v>
      </c>
      <c r="C21" s="41" t="s">
        <v>161</v>
      </c>
      <c r="D21" s="41" t="s">
        <v>569</v>
      </c>
      <c r="E21" s="41">
        <v>2</v>
      </c>
      <c r="F21" s="41" t="s">
        <v>575</v>
      </c>
    </row>
    <row r="22" spans="2:6" x14ac:dyDescent="0.3">
      <c r="B22" s="41">
        <v>6</v>
      </c>
      <c r="C22" s="41" t="s">
        <v>161</v>
      </c>
      <c r="D22" s="41" t="s">
        <v>569</v>
      </c>
      <c r="E22" s="41">
        <v>3</v>
      </c>
      <c r="F22" s="41" t="s">
        <v>576</v>
      </c>
    </row>
    <row r="23" spans="2:6" x14ac:dyDescent="0.3">
      <c r="B23" s="41">
        <v>7</v>
      </c>
      <c r="C23" s="41" t="s">
        <v>161</v>
      </c>
      <c r="D23" s="41" t="s">
        <v>569</v>
      </c>
      <c r="E23" s="41">
        <v>4</v>
      </c>
      <c r="F23" s="41" t="s">
        <v>577</v>
      </c>
    </row>
    <row r="24" spans="2:6" x14ac:dyDescent="0.3">
      <c r="B24" s="41">
        <v>8</v>
      </c>
      <c r="C24" s="41" t="s">
        <v>161</v>
      </c>
      <c r="D24" s="41" t="s">
        <v>569</v>
      </c>
      <c r="E24" s="41">
        <v>5</v>
      </c>
      <c r="F24" s="41" t="s">
        <v>578</v>
      </c>
    </row>
    <row r="25" spans="2:6" x14ac:dyDescent="0.3">
      <c r="B25" s="41">
        <v>9</v>
      </c>
      <c r="C25" s="41" t="s">
        <v>161</v>
      </c>
      <c r="D25" s="41" t="s">
        <v>570</v>
      </c>
      <c r="E25" s="41">
        <v>1</v>
      </c>
      <c r="F25" s="41" t="s">
        <v>579</v>
      </c>
    </row>
    <row r="26" spans="2:6" x14ac:dyDescent="0.3">
      <c r="B26" s="41">
        <v>10</v>
      </c>
      <c r="C26" s="41" t="s">
        <v>161</v>
      </c>
      <c r="D26" s="41" t="s">
        <v>570</v>
      </c>
      <c r="E26" s="41">
        <v>2</v>
      </c>
      <c r="F26" s="41" t="s">
        <v>580</v>
      </c>
    </row>
    <row r="27" spans="2:6" x14ac:dyDescent="0.3">
      <c r="B27" s="41">
        <v>11</v>
      </c>
      <c r="C27" s="41" t="s">
        <v>161</v>
      </c>
      <c r="D27" s="41" t="s">
        <v>570</v>
      </c>
      <c r="E27" s="41">
        <v>3</v>
      </c>
      <c r="F27" s="41" t="s">
        <v>581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2" tint="-0.249977111117893"/>
    <pageSetUpPr fitToPage="1"/>
  </sheetPr>
  <dimension ref="B2:F39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582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583</v>
      </c>
      <c r="C4" s="22">
        <v>21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16</v>
      </c>
      <c r="E8" s="38" t="s">
        <v>584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204</v>
      </c>
      <c r="D11" s="40">
        <v>5</v>
      </c>
    </row>
    <row r="12" spans="2:6" x14ac:dyDescent="0.3">
      <c r="B12" s="39">
        <v>2</v>
      </c>
      <c r="C12" s="39" t="s">
        <v>585</v>
      </c>
      <c r="D12" s="40">
        <v>4</v>
      </c>
    </row>
    <row r="13" spans="2:6" x14ac:dyDescent="0.3">
      <c r="B13" s="39">
        <v>3</v>
      </c>
      <c r="C13" s="39" t="s">
        <v>586</v>
      </c>
      <c r="D13" s="40">
        <v>4</v>
      </c>
    </row>
    <row r="14" spans="2:6" x14ac:dyDescent="0.3">
      <c r="B14" s="39">
        <v>4</v>
      </c>
      <c r="C14" s="39" t="s">
        <v>587</v>
      </c>
      <c r="D14" s="40">
        <v>4</v>
      </c>
    </row>
    <row r="15" spans="2:6" x14ac:dyDescent="0.3">
      <c r="B15" s="41">
        <v>5</v>
      </c>
      <c r="C15" s="39" t="s">
        <v>588</v>
      </c>
      <c r="D15" s="40">
        <v>4</v>
      </c>
    </row>
    <row r="16" spans="2:6" x14ac:dyDescent="0.3">
      <c r="C16" s="42" t="s">
        <v>150</v>
      </c>
      <c r="D16" s="43">
        <f>SUM(D11:D15)</f>
        <v>21</v>
      </c>
    </row>
    <row r="18" spans="2:6" x14ac:dyDescent="0.3">
      <c r="B18" s="7" t="s">
        <v>197</v>
      </c>
      <c r="C18" s="7" t="s">
        <v>151</v>
      </c>
      <c r="D18" s="7" t="s">
        <v>215</v>
      </c>
      <c r="E18" s="7" t="s">
        <v>216</v>
      </c>
      <c r="F18" s="7" t="s">
        <v>217</v>
      </c>
    </row>
    <row r="19" spans="2:6" x14ac:dyDescent="0.3">
      <c r="B19" s="41">
        <v>1</v>
      </c>
      <c r="C19" s="41" t="s">
        <v>162</v>
      </c>
      <c r="D19" s="41" t="s">
        <v>204</v>
      </c>
      <c r="E19" s="41">
        <v>1</v>
      </c>
      <c r="F19" s="41" t="s">
        <v>228</v>
      </c>
    </row>
    <row r="20" spans="2:6" x14ac:dyDescent="0.3">
      <c r="B20" s="41">
        <v>2</v>
      </c>
      <c r="C20" s="41" t="s">
        <v>162</v>
      </c>
      <c r="D20" s="41" t="s">
        <v>204</v>
      </c>
      <c r="E20" s="41">
        <v>2</v>
      </c>
      <c r="F20" s="41" t="s">
        <v>229</v>
      </c>
    </row>
    <row r="21" spans="2:6" x14ac:dyDescent="0.3">
      <c r="B21" s="41">
        <v>3</v>
      </c>
      <c r="C21" s="41" t="s">
        <v>162</v>
      </c>
      <c r="D21" s="41" t="s">
        <v>204</v>
      </c>
      <c r="E21" s="41">
        <v>3</v>
      </c>
      <c r="F21" s="41" t="s">
        <v>230</v>
      </c>
    </row>
    <row r="22" spans="2:6" x14ac:dyDescent="0.3">
      <c r="B22" s="41">
        <v>4</v>
      </c>
      <c r="C22" s="41" t="s">
        <v>162</v>
      </c>
      <c r="D22" s="41" t="s">
        <v>204</v>
      </c>
      <c r="E22" s="41">
        <v>4</v>
      </c>
      <c r="F22" s="41" t="s">
        <v>231</v>
      </c>
    </row>
    <row r="23" spans="2:6" x14ac:dyDescent="0.3">
      <c r="B23" s="41">
        <v>5</v>
      </c>
      <c r="C23" s="41" t="s">
        <v>162</v>
      </c>
      <c r="D23" s="41" t="s">
        <v>204</v>
      </c>
      <c r="E23" s="41">
        <v>5</v>
      </c>
      <c r="F23" s="41" t="s">
        <v>232</v>
      </c>
    </row>
    <row r="24" spans="2:6" x14ac:dyDescent="0.3">
      <c r="B24" s="41">
        <v>6</v>
      </c>
      <c r="C24" s="41" t="s">
        <v>162</v>
      </c>
      <c r="D24" s="41" t="s">
        <v>585</v>
      </c>
      <c r="E24" s="41">
        <v>1</v>
      </c>
      <c r="F24" s="41" t="s">
        <v>589</v>
      </c>
    </row>
    <row r="25" spans="2:6" x14ac:dyDescent="0.3">
      <c r="B25" s="41">
        <v>7</v>
      </c>
      <c r="C25" s="41" t="s">
        <v>162</v>
      </c>
      <c r="D25" s="41" t="s">
        <v>585</v>
      </c>
      <c r="E25" s="41">
        <v>2</v>
      </c>
      <c r="F25" s="41" t="s">
        <v>590</v>
      </c>
    </row>
    <row r="26" spans="2:6" x14ac:dyDescent="0.3">
      <c r="B26" s="41">
        <v>8</v>
      </c>
      <c r="C26" s="41" t="s">
        <v>162</v>
      </c>
      <c r="D26" s="41" t="s">
        <v>585</v>
      </c>
      <c r="E26" s="41">
        <v>3</v>
      </c>
      <c r="F26" s="41" t="s">
        <v>591</v>
      </c>
    </row>
    <row r="27" spans="2:6" x14ac:dyDescent="0.3">
      <c r="B27" s="41">
        <v>9</v>
      </c>
      <c r="C27" s="41" t="s">
        <v>162</v>
      </c>
      <c r="D27" s="41" t="s">
        <v>585</v>
      </c>
      <c r="E27" s="41">
        <v>4</v>
      </c>
      <c r="F27" s="41" t="s">
        <v>592</v>
      </c>
    </row>
    <row r="28" spans="2:6" x14ac:dyDescent="0.3">
      <c r="B28" s="41">
        <v>10</v>
      </c>
      <c r="C28" s="41" t="s">
        <v>162</v>
      </c>
      <c r="D28" s="41" t="s">
        <v>586</v>
      </c>
      <c r="E28" s="41">
        <v>1</v>
      </c>
      <c r="F28" s="41" t="s">
        <v>593</v>
      </c>
    </row>
    <row r="29" spans="2:6" x14ac:dyDescent="0.3">
      <c r="B29" s="41">
        <v>11</v>
      </c>
      <c r="C29" s="41" t="s">
        <v>162</v>
      </c>
      <c r="D29" s="41" t="s">
        <v>586</v>
      </c>
      <c r="E29" s="41">
        <v>2</v>
      </c>
      <c r="F29" s="41" t="s">
        <v>594</v>
      </c>
    </row>
    <row r="30" spans="2:6" x14ac:dyDescent="0.3">
      <c r="B30" s="41">
        <v>12</v>
      </c>
      <c r="C30" s="41" t="s">
        <v>162</v>
      </c>
      <c r="D30" s="41" t="s">
        <v>586</v>
      </c>
      <c r="E30" s="41">
        <v>3</v>
      </c>
      <c r="F30" s="41" t="s">
        <v>595</v>
      </c>
    </row>
    <row r="31" spans="2:6" x14ac:dyDescent="0.3">
      <c r="B31" s="41">
        <v>13</v>
      </c>
      <c r="C31" s="41" t="s">
        <v>162</v>
      </c>
      <c r="D31" s="41" t="s">
        <v>586</v>
      </c>
      <c r="E31" s="41">
        <v>4</v>
      </c>
      <c r="F31" s="41" t="s">
        <v>596</v>
      </c>
    </row>
    <row r="32" spans="2:6" x14ac:dyDescent="0.3">
      <c r="B32" s="41">
        <v>14</v>
      </c>
      <c r="C32" s="41" t="s">
        <v>162</v>
      </c>
      <c r="D32" s="41" t="s">
        <v>587</v>
      </c>
      <c r="E32" s="41">
        <v>1</v>
      </c>
      <c r="F32" s="41" t="s">
        <v>597</v>
      </c>
    </row>
    <row r="33" spans="2:6" x14ac:dyDescent="0.3">
      <c r="B33" s="41">
        <v>15</v>
      </c>
      <c r="C33" s="41" t="s">
        <v>162</v>
      </c>
      <c r="D33" s="41" t="s">
        <v>587</v>
      </c>
      <c r="E33" s="41">
        <v>2</v>
      </c>
      <c r="F33" s="41" t="s">
        <v>598</v>
      </c>
    </row>
    <row r="34" spans="2:6" x14ac:dyDescent="0.3">
      <c r="B34" s="41">
        <v>16</v>
      </c>
      <c r="C34" s="41" t="s">
        <v>162</v>
      </c>
      <c r="D34" s="41" t="s">
        <v>587</v>
      </c>
      <c r="E34" s="41">
        <v>3</v>
      </c>
      <c r="F34" s="41" t="s">
        <v>599</v>
      </c>
    </row>
    <row r="35" spans="2:6" x14ac:dyDescent="0.3">
      <c r="B35" s="41">
        <v>17</v>
      </c>
      <c r="C35" s="41" t="s">
        <v>162</v>
      </c>
      <c r="D35" s="41" t="s">
        <v>587</v>
      </c>
      <c r="E35" s="41">
        <v>4</v>
      </c>
      <c r="F35" s="41" t="s">
        <v>600</v>
      </c>
    </row>
    <row r="36" spans="2:6" x14ac:dyDescent="0.3">
      <c r="B36" s="41">
        <v>18</v>
      </c>
      <c r="C36" s="41" t="s">
        <v>162</v>
      </c>
      <c r="D36" s="41" t="s">
        <v>588</v>
      </c>
      <c r="E36" s="41">
        <v>1</v>
      </c>
      <c r="F36" s="41" t="s">
        <v>601</v>
      </c>
    </row>
    <row r="37" spans="2:6" x14ac:dyDescent="0.3">
      <c r="B37" s="41">
        <v>19</v>
      </c>
      <c r="C37" s="41" t="s">
        <v>162</v>
      </c>
      <c r="D37" s="41" t="s">
        <v>588</v>
      </c>
      <c r="E37" s="41">
        <v>2</v>
      </c>
      <c r="F37" s="41" t="s">
        <v>602</v>
      </c>
    </row>
    <row r="38" spans="2:6" x14ac:dyDescent="0.3">
      <c r="B38" s="41">
        <v>20</v>
      </c>
      <c r="C38" s="41" t="s">
        <v>162</v>
      </c>
      <c r="D38" s="41" t="s">
        <v>588</v>
      </c>
      <c r="E38" s="41">
        <v>3</v>
      </c>
      <c r="F38" s="41" t="s">
        <v>603</v>
      </c>
    </row>
    <row r="39" spans="2:6" x14ac:dyDescent="0.3">
      <c r="B39" s="41">
        <v>21</v>
      </c>
      <c r="C39" s="41" t="s">
        <v>162</v>
      </c>
      <c r="D39" s="41" t="s">
        <v>588</v>
      </c>
      <c r="E39" s="41">
        <v>4</v>
      </c>
      <c r="F39" s="41" t="s">
        <v>604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2" tint="-0.249977111117893"/>
    <pageSetUpPr fitToPage="1"/>
  </sheetPr>
  <dimension ref="B3:I60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4" max="4" width="26.44140625" customWidth="1"/>
    <col min="8" max="8" width="26.44140625" customWidth="1"/>
  </cols>
  <sheetData>
    <row r="3" spans="2:9" x14ac:dyDescent="0.3">
      <c r="B3" s="62" t="s">
        <v>605</v>
      </c>
      <c r="C3" s="199"/>
      <c r="D3" s="62">
        <f>COUNTA(F11:F60)</f>
        <v>38</v>
      </c>
    </row>
    <row r="4" spans="2:9" x14ac:dyDescent="0.3">
      <c r="B4" s="63" t="s">
        <v>288</v>
      </c>
    </row>
    <row r="6" spans="2:9" x14ac:dyDescent="0.3">
      <c r="B6" s="44" t="s">
        <v>146</v>
      </c>
      <c r="C6" s="26"/>
      <c r="D6" s="45">
        <f t="array" ref="D6">SUMPRODUCT((ISNUMBER(SEARCH("Referral",D11:D60)))*1)+(SUMPRODUCT((ISNUMBER(SEARCH("Teaching",D11:D60)))*1))</f>
        <v>6</v>
      </c>
    </row>
    <row r="7" spans="2:9" x14ac:dyDescent="0.3">
      <c r="B7" s="44" t="s">
        <v>147</v>
      </c>
      <c r="C7" s="26"/>
      <c r="D7" s="45">
        <f t="array" ref="D7">SUMPRODUCT((ISNUMBER(SEARCH("hospital",D11:D60)))*1)-SUMPRODUCT((ISNUMBER(SEARCH("Referral",D11:D60)))*(ISNUMBER(SEARCH("hospital",D11:D60)))*1)</f>
        <v>32</v>
      </c>
      <c r="F7" s="38"/>
    </row>
    <row r="8" spans="2:9" x14ac:dyDescent="0.3">
      <c r="B8" s="44" t="s">
        <v>148</v>
      </c>
      <c r="C8" s="26"/>
      <c r="D8" s="45">
        <f>D3-D6-D7</f>
        <v>0</v>
      </c>
    </row>
    <row r="10" spans="2:9" x14ac:dyDescent="0.3">
      <c r="B10" s="64" t="s">
        <v>197</v>
      </c>
      <c r="C10" s="64" t="s">
        <v>151</v>
      </c>
      <c r="D10" s="64" t="s">
        <v>215</v>
      </c>
      <c r="E10" s="64" t="s">
        <v>216</v>
      </c>
      <c r="F10" s="64" t="s">
        <v>217</v>
      </c>
      <c r="H10" s="65" t="s">
        <v>215</v>
      </c>
      <c r="I10" s="64" t="s">
        <v>290</v>
      </c>
    </row>
    <row r="11" spans="2:9" x14ac:dyDescent="0.3">
      <c r="B11" s="66">
        <v>1</v>
      </c>
      <c r="C11" s="66" t="s">
        <v>198</v>
      </c>
      <c r="D11" s="66" t="s">
        <v>606</v>
      </c>
      <c r="E11" s="66">
        <v>1</v>
      </c>
      <c r="F11" s="66" t="s">
        <v>607</v>
      </c>
      <c r="H11" s="41" t="s">
        <v>606</v>
      </c>
      <c r="I11" s="41">
        <v>2</v>
      </c>
    </row>
    <row r="12" spans="2:9" x14ac:dyDescent="0.3">
      <c r="B12" s="66">
        <v>2</v>
      </c>
      <c r="C12" s="66" t="s">
        <v>198</v>
      </c>
      <c r="D12" s="66" t="s">
        <v>606</v>
      </c>
      <c r="E12" s="66">
        <v>2</v>
      </c>
      <c r="F12" s="66" t="s">
        <v>608</v>
      </c>
      <c r="H12" s="41" t="s">
        <v>609</v>
      </c>
      <c r="I12" s="41">
        <v>2</v>
      </c>
    </row>
    <row r="13" spans="2:9" x14ac:dyDescent="0.3">
      <c r="B13" s="66">
        <v>3</v>
      </c>
      <c r="C13" s="66" t="s">
        <v>198</v>
      </c>
      <c r="D13" s="66" t="s">
        <v>609</v>
      </c>
      <c r="E13" s="66">
        <v>1</v>
      </c>
      <c r="F13" s="66" t="s">
        <v>610</v>
      </c>
      <c r="H13" s="41" t="s">
        <v>611</v>
      </c>
      <c r="I13" s="41">
        <v>6</v>
      </c>
    </row>
    <row r="14" spans="2:9" x14ac:dyDescent="0.3">
      <c r="B14" s="66">
        <v>4</v>
      </c>
      <c r="C14" s="66" t="s">
        <v>198</v>
      </c>
      <c r="D14" s="66" t="s">
        <v>609</v>
      </c>
      <c r="E14" s="66">
        <v>2</v>
      </c>
      <c r="F14" s="66" t="s">
        <v>612</v>
      </c>
      <c r="H14" s="41" t="s">
        <v>613</v>
      </c>
      <c r="I14" s="41">
        <v>2</v>
      </c>
    </row>
    <row r="15" spans="2:9" x14ac:dyDescent="0.3">
      <c r="B15" s="66">
        <v>5</v>
      </c>
      <c r="C15" s="66" t="s">
        <v>198</v>
      </c>
      <c r="D15" s="66" t="s">
        <v>611</v>
      </c>
      <c r="E15" s="66">
        <v>1</v>
      </c>
      <c r="F15" s="66" t="s">
        <v>614</v>
      </c>
      <c r="H15" s="41" t="s">
        <v>615</v>
      </c>
      <c r="I15" s="41">
        <v>2</v>
      </c>
    </row>
    <row r="16" spans="2:9" x14ac:dyDescent="0.3">
      <c r="B16" s="66">
        <v>6</v>
      </c>
      <c r="C16" s="66" t="s">
        <v>198</v>
      </c>
      <c r="D16" s="66" t="s">
        <v>611</v>
      </c>
      <c r="E16" s="66">
        <v>2</v>
      </c>
      <c r="F16" s="66" t="s">
        <v>616</v>
      </c>
      <c r="H16" s="41" t="s">
        <v>617</v>
      </c>
      <c r="I16" s="41">
        <v>4</v>
      </c>
    </row>
    <row r="17" spans="2:9" x14ac:dyDescent="0.3">
      <c r="B17" s="66">
        <v>7</v>
      </c>
      <c r="C17" s="66" t="s">
        <v>198</v>
      </c>
      <c r="D17" s="66" t="s">
        <v>611</v>
      </c>
      <c r="E17" s="66">
        <v>3</v>
      </c>
      <c r="F17" s="66" t="s">
        <v>618</v>
      </c>
      <c r="H17" s="41" t="s">
        <v>619</v>
      </c>
      <c r="I17" s="41">
        <v>2</v>
      </c>
    </row>
    <row r="18" spans="2:9" x14ac:dyDescent="0.3">
      <c r="B18" s="66">
        <v>8</v>
      </c>
      <c r="C18" s="66" t="s">
        <v>198</v>
      </c>
      <c r="D18" s="66" t="s">
        <v>611</v>
      </c>
      <c r="E18" s="66">
        <v>4</v>
      </c>
      <c r="F18" s="66" t="s">
        <v>620</v>
      </c>
      <c r="H18" s="41" t="s">
        <v>621</v>
      </c>
      <c r="I18" s="41">
        <v>2</v>
      </c>
    </row>
    <row r="19" spans="2:9" x14ac:dyDescent="0.3">
      <c r="B19" s="66">
        <v>9</v>
      </c>
      <c r="C19" s="66" t="s">
        <v>198</v>
      </c>
      <c r="D19" s="66" t="s">
        <v>611</v>
      </c>
      <c r="E19" s="66">
        <v>5</v>
      </c>
      <c r="F19" s="66" t="s">
        <v>622</v>
      </c>
      <c r="H19" s="41" t="s">
        <v>623</v>
      </c>
      <c r="I19" s="41">
        <v>2</v>
      </c>
    </row>
    <row r="20" spans="2:9" x14ac:dyDescent="0.3">
      <c r="B20" s="66">
        <v>10</v>
      </c>
      <c r="C20" s="66" t="s">
        <v>198</v>
      </c>
      <c r="D20" s="66" t="s">
        <v>611</v>
      </c>
      <c r="E20" s="66">
        <v>6</v>
      </c>
      <c r="F20" s="66" t="s">
        <v>624</v>
      </c>
      <c r="H20" s="41" t="s">
        <v>625</v>
      </c>
      <c r="I20" s="41">
        <v>2</v>
      </c>
    </row>
    <row r="21" spans="2:9" x14ac:dyDescent="0.3">
      <c r="B21" s="66">
        <v>11</v>
      </c>
      <c r="C21" s="66" t="s">
        <v>198</v>
      </c>
      <c r="D21" s="66" t="s">
        <v>613</v>
      </c>
      <c r="E21" s="66">
        <v>1</v>
      </c>
      <c r="F21" s="66" t="s">
        <v>626</v>
      </c>
      <c r="H21" s="41" t="s">
        <v>627</v>
      </c>
      <c r="I21" s="41">
        <v>2</v>
      </c>
    </row>
    <row r="22" spans="2:9" x14ac:dyDescent="0.3">
      <c r="B22" s="66">
        <v>12</v>
      </c>
      <c r="C22" s="66" t="s">
        <v>198</v>
      </c>
      <c r="D22" s="66" t="s">
        <v>613</v>
      </c>
      <c r="E22" s="66">
        <v>2</v>
      </c>
      <c r="F22" s="66" t="s">
        <v>628</v>
      </c>
      <c r="H22" s="41" t="s">
        <v>629</v>
      </c>
      <c r="I22" s="41">
        <v>2</v>
      </c>
    </row>
    <row r="23" spans="2:9" x14ac:dyDescent="0.3">
      <c r="B23" s="66">
        <v>13</v>
      </c>
      <c r="C23" s="66" t="s">
        <v>198</v>
      </c>
      <c r="D23" s="66" t="s">
        <v>615</v>
      </c>
      <c r="E23" s="66">
        <v>1</v>
      </c>
      <c r="F23" s="66" t="s">
        <v>630</v>
      </c>
      <c r="H23" s="41" t="s">
        <v>631</v>
      </c>
      <c r="I23" s="41">
        <v>2</v>
      </c>
    </row>
    <row r="24" spans="2:9" x14ac:dyDescent="0.3">
      <c r="B24" s="66">
        <v>14</v>
      </c>
      <c r="C24" s="66" t="s">
        <v>198</v>
      </c>
      <c r="D24" s="66" t="s">
        <v>615</v>
      </c>
      <c r="E24" s="66">
        <v>2</v>
      </c>
      <c r="F24" s="66" t="s">
        <v>632</v>
      </c>
      <c r="H24" s="41" t="s">
        <v>633</v>
      </c>
      <c r="I24" s="41">
        <v>2</v>
      </c>
    </row>
    <row r="25" spans="2:9" x14ac:dyDescent="0.3">
      <c r="B25" s="66">
        <v>15</v>
      </c>
      <c r="C25" s="66" t="s">
        <v>198</v>
      </c>
      <c r="D25" s="66" t="s">
        <v>617</v>
      </c>
      <c r="E25" s="66">
        <v>1</v>
      </c>
      <c r="F25" s="66" t="s">
        <v>634</v>
      </c>
      <c r="H25" s="41" t="s">
        <v>635</v>
      </c>
      <c r="I25" s="41">
        <v>2</v>
      </c>
    </row>
    <row r="26" spans="2:9" x14ac:dyDescent="0.3">
      <c r="B26" s="66">
        <v>16</v>
      </c>
      <c r="C26" s="66" t="s">
        <v>198</v>
      </c>
      <c r="D26" s="66" t="s">
        <v>617</v>
      </c>
      <c r="E26" s="66">
        <v>2</v>
      </c>
      <c r="F26" s="66" t="s">
        <v>636</v>
      </c>
      <c r="H26" s="41" t="s">
        <v>637</v>
      </c>
      <c r="I26" s="41">
        <v>2</v>
      </c>
    </row>
    <row r="27" spans="2:9" x14ac:dyDescent="0.3">
      <c r="B27" s="66">
        <v>17</v>
      </c>
      <c r="C27" s="66" t="s">
        <v>198</v>
      </c>
      <c r="D27" s="66" t="s">
        <v>617</v>
      </c>
      <c r="E27" s="66">
        <v>3</v>
      </c>
      <c r="F27" s="66" t="s">
        <v>638</v>
      </c>
      <c r="H27" s="42" t="s">
        <v>150</v>
      </c>
      <c r="I27" s="42">
        <v>38</v>
      </c>
    </row>
    <row r="28" spans="2:9" x14ac:dyDescent="0.3">
      <c r="B28" s="66">
        <v>18</v>
      </c>
      <c r="C28" s="66" t="s">
        <v>198</v>
      </c>
      <c r="D28" s="66" t="s">
        <v>617</v>
      </c>
      <c r="E28" s="66">
        <v>4</v>
      </c>
      <c r="F28" s="66" t="s">
        <v>639</v>
      </c>
    </row>
    <row r="29" spans="2:9" x14ac:dyDescent="0.3">
      <c r="B29" s="66">
        <v>19</v>
      </c>
      <c r="C29" s="66" t="s">
        <v>198</v>
      </c>
      <c r="D29" s="66" t="s">
        <v>619</v>
      </c>
      <c r="E29" s="66">
        <v>1</v>
      </c>
      <c r="F29" s="66" t="s">
        <v>640</v>
      </c>
    </row>
    <row r="30" spans="2:9" x14ac:dyDescent="0.3">
      <c r="B30" s="66">
        <v>20</v>
      </c>
      <c r="C30" s="66" t="s">
        <v>198</v>
      </c>
      <c r="D30" s="66" t="s">
        <v>619</v>
      </c>
      <c r="E30" s="66">
        <v>2</v>
      </c>
      <c r="F30" s="66" t="s">
        <v>641</v>
      </c>
    </row>
    <row r="31" spans="2:9" x14ac:dyDescent="0.3">
      <c r="B31" s="66">
        <v>21</v>
      </c>
      <c r="C31" s="66" t="s">
        <v>198</v>
      </c>
      <c r="D31" s="66" t="s">
        <v>621</v>
      </c>
      <c r="E31" s="66">
        <v>1</v>
      </c>
      <c r="F31" s="66" t="s">
        <v>642</v>
      </c>
    </row>
    <row r="32" spans="2:9" x14ac:dyDescent="0.3">
      <c r="B32" s="66">
        <v>22</v>
      </c>
      <c r="C32" s="66" t="s">
        <v>198</v>
      </c>
      <c r="D32" s="66" t="s">
        <v>621</v>
      </c>
      <c r="E32" s="66">
        <v>2</v>
      </c>
      <c r="F32" s="66" t="s">
        <v>643</v>
      </c>
    </row>
    <row r="33" spans="2:6" x14ac:dyDescent="0.3">
      <c r="B33" s="66">
        <v>23</v>
      </c>
      <c r="C33" s="66" t="s">
        <v>198</v>
      </c>
      <c r="D33" s="66" t="s">
        <v>623</v>
      </c>
      <c r="E33" s="66">
        <v>1</v>
      </c>
      <c r="F33" s="66" t="s">
        <v>644</v>
      </c>
    </row>
    <row r="34" spans="2:6" x14ac:dyDescent="0.3">
      <c r="B34" s="66">
        <v>24</v>
      </c>
      <c r="C34" s="66" t="s">
        <v>198</v>
      </c>
      <c r="D34" s="66" t="s">
        <v>623</v>
      </c>
      <c r="E34" s="66">
        <v>2</v>
      </c>
      <c r="F34" s="66" t="s">
        <v>645</v>
      </c>
    </row>
    <row r="35" spans="2:6" x14ac:dyDescent="0.3">
      <c r="B35" s="66">
        <v>25</v>
      </c>
      <c r="C35" s="66" t="s">
        <v>198</v>
      </c>
      <c r="D35" s="66" t="s">
        <v>625</v>
      </c>
      <c r="E35" s="66">
        <v>1</v>
      </c>
      <c r="F35" s="66" t="s">
        <v>646</v>
      </c>
    </row>
    <row r="36" spans="2:6" x14ac:dyDescent="0.3">
      <c r="B36" s="66">
        <v>26</v>
      </c>
      <c r="C36" s="66" t="s">
        <v>198</v>
      </c>
      <c r="D36" s="66" t="s">
        <v>625</v>
      </c>
      <c r="E36" s="66">
        <v>2</v>
      </c>
      <c r="F36" s="66" t="s">
        <v>647</v>
      </c>
    </row>
    <row r="37" spans="2:6" x14ac:dyDescent="0.3">
      <c r="B37" s="66">
        <v>27</v>
      </c>
      <c r="C37" s="66" t="s">
        <v>198</v>
      </c>
      <c r="D37" s="66" t="s">
        <v>627</v>
      </c>
      <c r="E37" s="66">
        <v>1</v>
      </c>
      <c r="F37" s="66" t="s">
        <v>648</v>
      </c>
    </row>
    <row r="38" spans="2:6" x14ac:dyDescent="0.3">
      <c r="B38" s="66">
        <v>28</v>
      </c>
      <c r="C38" s="66" t="s">
        <v>198</v>
      </c>
      <c r="D38" s="66" t="s">
        <v>627</v>
      </c>
      <c r="E38" s="66">
        <v>2</v>
      </c>
      <c r="F38" s="66" t="s">
        <v>649</v>
      </c>
    </row>
    <row r="39" spans="2:6" x14ac:dyDescent="0.3">
      <c r="B39" s="66">
        <v>29</v>
      </c>
      <c r="C39" s="66" t="s">
        <v>198</v>
      </c>
      <c r="D39" s="66" t="s">
        <v>629</v>
      </c>
      <c r="E39" s="66">
        <v>1</v>
      </c>
      <c r="F39" s="66" t="s">
        <v>650</v>
      </c>
    </row>
    <row r="40" spans="2:6" x14ac:dyDescent="0.3">
      <c r="B40" s="66">
        <v>30</v>
      </c>
      <c r="C40" s="66" t="s">
        <v>198</v>
      </c>
      <c r="D40" s="66" t="s">
        <v>629</v>
      </c>
      <c r="E40" s="66">
        <v>2</v>
      </c>
      <c r="F40" s="66" t="s">
        <v>651</v>
      </c>
    </row>
    <row r="41" spans="2:6" x14ac:dyDescent="0.3">
      <c r="B41" s="66">
        <v>31</v>
      </c>
      <c r="C41" s="66" t="s">
        <v>198</v>
      </c>
      <c r="D41" s="66" t="s">
        <v>631</v>
      </c>
      <c r="E41" s="66">
        <v>1</v>
      </c>
      <c r="F41" s="66" t="s">
        <v>652</v>
      </c>
    </row>
    <row r="42" spans="2:6" x14ac:dyDescent="0.3">
      <c r="B42" s="66">
        <v>32</v>
      </c>
      <c r="C42" s="66" t="s">
        <v>198</v>
      </c>
      <c r="D42" s="66" t="s">
        <v>631</v>
      </c>
      <c r="E42" s="66">
        <v>2</v>
      </c>
      <c r="F42" s="66" t="s">
        <v>653</v>
      </c>
    </row>
    <row r="43" spans="2:6" x14ac:dyDescent="0.3">
      <c r="B43" s="66">
        <v>33</v>
      </c>
      <c r="C43" s="66" t="s">
        <v>198</v>
      </c>
      <c r="D43" s="66" t="s">
        <v>633</v>
      </c>
      <c r="E43" s="66">
        <v>1</v>
      </c>
      <c r="F43" s="66" t="s">
        <v>654</v>
      </c>
    </row>
    <row r="44" spans="2:6" x14ac:dyDescent="0.3">
      <c r="B44" s="66">
        <v>34</v>
      </c>
      <c r="C44" s="66" t="s">
        <v>198</v>
      </c>
      <c r="D44" s="66" t="s">
        <v>633</v>
      </c>
      <c r="E44" s="66">
        <v>2</v>
      </c>
      <c r="F44" s="66" t="s">
        <v>655</v>
      </c>
    </row>
    <row r="45" spans="2:6" x14ac:dyDescent="0.3">
      <c r="B45" s="66">
        <v>35</v>
      </c>
      <c r="C45" s="66" t="s">
        <v>198</v>
      </c>
      <c r="D45" s="66" t="s">
        <v>635</v>
      </c>
      <c r="E45" s="66">
        <v>1</v>
      </c>
      <c r="F45" s="66" t="s">
        <v>656</v>
      </c>
    </row>
    <row r="46" spans="2:6" x14ac:dyDescent="0.3">
      <c r="B46" s="66">
        <v>36</v>
      </c>
      <c r="C46" s="66" t="s">
        <v>198</v>
      </c>
      <c r="D46" s="66" t="s">
        <v>635</v>
      </c>
      <c r="E46" s="66">
        <v>2</v>
      </c>
      <c r="F46" s="66" t="s">
        <v>657</v>
      </c>
    </row>
    <row r="47" spans="2:6" x14ac:dyDescent="0.3">
      <c r="B47" s="66">
        <v>37</v>
      </c>
      <c r="C47" s="66" t="s">
        <v>198</v>
      </c>
      <c r="D47" s="66" t="s">
        <v>637</v>
      </c>
      <c r="E47" s="66">
        <v>1</v>
      </c>
      <c r="F47" s="66" t="s">
        <v>658</v>
      </c>
    </row>
    <row r="48" spans="2:6" x14ac:dyDescent="0.3">
      <c r="B48" s="66">
        <v>38</v>
      </c>
      <c r="C48" s="66" t="s">
        <v>198</v>
      </c>
      <c r="D48" s="66" t="s">
        <v>637</v>
      </c>
      <c r="E48" s="66">
        <v>2</v>
      </c>
      <c r="F48" s="66" t="s">
        <v>659</v>
      </c>
    </row>
    <row r="49" spans="2:6" x14ac:dyDescent="0.3">
      <c r="B49" s="41"/>
      <c r="C49" s="41"/>
      <c r="D49" s="41"/>
      <c r="E49" s="41"/>
      <c r="F49" s="41"/>
    </row>
    <row r="50" spans="2:6" x14ac:dyDescent="0.3">
      <c r="B50" s="41"/>
      <c r="C50" s="41"/>
      <c r="D50" s="41"/>
      <c r="E50" s="41"/>
      <c r="F50" s="41"/>
    </row>
    <row r="51" spans="2:6" x14ac:dyDescent="0.3">
      <c r="B51" s="41"/>
      <c r="C51" s="41"/>
      <c r="D51" s="41"/>
      <c r="E51" s="41"/>
      <c r="F51" s="41"/>
    </row>
    <row r="52" spans="2:6" x14ac:dyDescent="0.3">
      <c r="B52" s="41"/>
      <c r="C52" s="41"/>
      <c r="D52" s="41"/>
      <c r="E52" s="41"/>
      <c r="F52" s="41"/>
    </row>
    <row r="53" spans="2:6" x14ac:dyDescent="0.3">
      <c r="B53" s="41"/>
      <c r="C53" s="41"/>
      <c r="D53" s="41"/>
      <c r="E53" s="41"/>
      <c r="F53" s="41"/>
    </row>
    <row r="54" spans="2:6" x14ac:dyDescent="0.3">
      <c r="B54" s="41"/>
      <c r="C54" s="41"/>
      <c r="D54" s="41"/>
      <c r="E54" s="41"/>
      <c r="F54" s="41"/>
    </row>
    <row r="55" spans="2:6" x14ac:dyDescent="0.3">
      <c r="B55" s="41"/>
      <c r="C55" s="41"/>
      <c r="D55" s="41"/>
      <c r="E55" s="41"/>
      <c r="F55" s="41"/>
    </row>
    <row r="56" spans="2:6" x14ac:dyDescent="0.3">
      <c r="B56" s="41"/>
      <c r="C56" s="41"/>
      <c r="D56" s="41"/>
      <c r="E56" s="41"/>
      <c r="F56" s="41"/>
    </row>
    <row r="57" spans="2:6" x14ac:dyDescent="0.3">
      <c r="B57" s="41"/>
      <c r="C57" s="41"/>
      <c r="D57" s="41"/>
      <c r="E57" s="41"/>
      <c r="F57" s="41"/>
    </row>
    <row r="58" spans="2:6" x14ac:dyDescent="0.3">
      <c r="B58" s="41"/>
      <c r="C58" s="41"/>
      <c r="D58" s="41"/>
      <c r="E58" s="41"/>
      <c r="F58" s="41"/>
    </row>
    <row r="59" spans="2:6" x14ac:dyDescent="0.3">
      <c r="B59" s="41"/>
      <c r="C59" s="41"/>
      <c r="D59" s="41"/>
      <c r="E59" s="41"/>
      <c r="F59" s="41"/>
    </row>
    <row r="60" spans="2:6" x14ac:dyDescent="0.3">
      <c r="B60" s="41"/>
      <c r="C60" s="41"/>
      <c r="D60" s="41"/>
      <c r="E60" s="41"/>
      <c r="F60" s="41"/>
    </row>
  </sheetData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  <pageSetUpPr fitToPage="1"/>
  </sheetPr>
  <dimension ref="B2:F47"/>
  <sheetViews>
    <sheetView showGridLines="0" view="pageLayout" topLeftCell="B1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660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661</v>
      </c>
      <c r="C4" s="22">
        <v>27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19</v>
      </c>
      <c r="E8" s="38" t="s">
        <v>662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663</v>
      </c>
      <c r="D11" s="40">
        <v>3</v>
      </c>
    </row>
    <row r="12" spans="2:6" x14ac:dyDescent="0.3">
      <c r="B12" s="39">
        <v>2</v>
      </c>
      <c r="C12" s="39" t="s">
        <v>664</v>
      </c>
      <c r="D12" s="40">
        <v>4</v>
      </c>
    </row>
    <row r="13" spans="2:6" x14ac:dyDescent="0.3">
      <c r="B13" s="39">
        <v>3</v>
      </c>
      <c r="C13" s="39" t="s">
        <v>205</v>
      </c>
      <c r="D13" s="40">
        <v>5</v>
      </c>
    </row>
    <row r="14" spans="2:6" x14ac:dyDescent="0.3">
      <c r="B14" s="39">
        <v>4</v>
      </c>
      <c r="C14" s="39" t="s">
        <v>665</v>
      </c>
      <c r="D14" s="40">
        <v>3</v>
      </c>
    </row>
    <row r="15" spans="2:6" x14ac:dyDescent="0.3">
      <c r="B15" s="39">
        <v>5</v>
      </c>
      <c r="C15" s="39" t="s">
        <v>666</v>
      </c>
      <c r="D15" s="40">
        <v>3</v>
      </c>
    </row>
    <row r="16" spans="2:6" x14ac:dyDescent="0.3">
      <c r="B16" s="39">
        <v>6</v>
      </c>
      <c r="C16" s="39" t="s">
        <v>667</v>
      </c>
      <c r="D16" s="40">
        <v>3</v>
      </c>
    </row>
    <row r="17" spans="2:6" x14ac:dyDescent="0.3">
      <c r="B17" s="39">
        <v>7</v>
      </c>
      <c r="C17" s="39" t="s">
        <v>668</v>
      </c>
      <c r="D17" s="40">
        <v>3</v>
      </c>
    </row>
    <row r="18" spans="2:6" x14ac:dyDescent="0.3">
      <c r="B18" s="17">
        <v>8</v>
      </c>
      <c r="C18" s="17" t="s">
        <v>669</v>
      </c>
      <c r="D18" s="13">
        <v>3</v>
      </c>
    </row>
    <row r="19" spans="2:6" x14ac:dyDescent="0.3">
      <c r="C19" s="56" t="s">
        <v>150</v>
      </c>
      <c r="D19" s="98">
        <f>SUM(D11:D18)</f>
        <v>27</v>
      </c>
    </row>
    <row r="21" spans="2:6" x14ac:dyDescent="0.3">
      <c r="B21" s="7" t="s">
        <v>197</v>
      </c>
      <c r="C21" s="7" t="s">
        <v>151</v>
      </c>
      <c r="D21" s="7" t="s">
        <v>215</v>
      </c>
      <c r="E21" s="7" t="s">
        <v>216</v>
      </c>
      <c r="F21" s="7" t="s">
        <v>217</v>
      </c>
    </row>
    <row r="22" spans="2:6" x14ac:dyDescent="0.3">
      <c r="B22" s="41">
        <v>1</v>
      </c>
      <c r="C22" s="41" t="s">
        <v>164</v>
      </c>
      <c r="D22" s="41" t="s">
        <v>663</v>
      </c>
      <c r="E22" s="41">
        <v>1</v>
      </c>
      <c r="F22" s="41" t="s">
        <v>670</v>
      </c>
    </row>
    <row r="23" spans="2:6" x14ac:dyDescent="0.3">
      <c r="B23" s="41">
        <v>2</v>
      </c>
      <c r="C23" s="41" t="s">
        <v>164</v>
      </c>
      <c r="D23" s="41" t="s">
        <v>663</v>
      </c>
      <c r="E23" s="41">
        <v>2</v>
      </c>
      <c r="F23" s="41" t="s">
        <v>671</v>
      </c>
    </row>
    <row r="24" spans="2:6" x14ac:dyDescent="0.3">
      <c r="B24" s="41">
        <v>3</v>
      </c>
      <c r="C24" s="41" t="s">
        <v>164</v>
      </c>
      <c r="D24" s="41" t="s">
        <v>663</v>
      </c>
      <c r="E24" s="41">
        <v>3</v>
      </c>
      <c r="F24" s="41" t="s">
        <v>672</v>
      </c>
    </row>
    <row r="25" spans="2:6" x14ac:dyDescent="0.3">
      <c r="B25" s="41">
        <v>4</v>
      </c>
      <c r="C25" s="41" t="s">
        <v>164</v>
      </c>
      <c r="D25" s="41" t="s">
        <v>664</v>
      </c>
      <c r="E25" s="41">
        <v>1</v>
      </c>
      <c r="F25" s="41" t="s">
        <v>673</v>
      </c>
    </row>
    <row r="26" spans="2:6" x14ac:dyDescent="0.3">
      <c r="B26" s="41">
        <v>5</v>
      </c>
      <c r="C26" s="41" t="s">
        <v>164</v>
      </c>
      <c r="D26" s="41" t="s">
        <v>664</v>
      </c>
      <c r="E26" s="41">
        <v>2</v>
      </c>
      <c r="F26" s="41" t="s">
        <v>674</v>
      </c>
    </row>
    <row r="27" spans="2:6" x14ac:dyDescent="0.3">
      <c r="B27" s="41">
        <v>6</v>
      </c>
      <c r="C27" s="41" t="s">
        <v>164</v>
      </c>
      <c r="D27" s="41" t="s">
        <v>664</v>
      </c>
      <c r="E27" s="41">
        <v>3</v>
      </c>
      <c r="F27" s="41" t="s">
        <v>675</v>
      </c>
    </row>
    <row r="28" spans="2:6" x14ac:dyDescent="0.3">
      <c r="B28" s="41">
        <v>7</v>
      </c>
      <c r="C28" s="41" t="s">
        <v>164</v>
      </c>
      <c r="D28" s="41" t="s">
        <v>664</v>
      </c>
      <c r="E28" s="41">
        <v>4</v>
      </c>
      <c r="F28" s="41" t="s">
        <v>676</v>
      </c>
    </row>
    <row r="29" spans="2:6" x14ac:dyDescent="0.3">
      <c r="B29" s="41">
        <v>8</v>
      </c>
      <c r="C29" s="41" t="s">
        <v>164</v>
      </c>
      <c r="D29" s="41" t="s">
        <v>205</v>
      </c>
      <c r="E29" s="41">
        <v>1</v>
      </c>
      <c r="F29" s="41" t="s">
        <v>233</v>
      </c>
    </row>
    <row r="30" spans="2:6" x14ac:dyDescent="0.3">
      <c r="B30" s="41">
        <v>9</v>
      </c>
      <c r="C30" s="41" t="s">
        <v>164</v>
      </c>
      <c r="D30" s="41" t="s">
        <v>205</v>
      </c>
      <c r="E30" s="41">
        <v>2</v>
      </c>
      <c r="F30" s="41" t="s">
        <v>234</v>
      </c>
    </row>
    <row r="31" spans="2:6" x14ac:dyDescent="0.3">
      <c r="B31" s="41">
        <v>10</v>
      </c>
      <c r="C31" s="41" t="s">
        <v>164</v>
      </c>
      <c r="D31" s="41" t="s">
        <v>205</v>
      </c>
      <c r="E31" s="41">
        <v>3</v>
      </c>
      <c r="F31" s="41" t="s">
        <v>235</v>
      </c>
    </row>
    <row r="32" spans="2:6" x14ac:dyDescent="0.3">
      <c r="B32" s="41">
        <v>11</v>
      </c>
      <c r="C32" s="41" t="s">
        <v>164</v>
      </c>
      <c r="D32" s="41" t="s">
        <v>205</v>
      </c>
      <c r="E32" s="41">
        <v>4</v>
      </c>
      <c r="F32" s="41" t="s">
        <v>236</v>
      </c>
    </row>
    <row r="33" spans="2:6" x14ac:dyDescent="0.3">
      <c r="B33" s="41">
        <v>12</v>
      </c>
      <c r="C33" s="41" t="s">
        <v>164</v>
      </c>
      <c r="D33" s="41" t="s">
        <v>205</v>
      </c>
      <c r="E33" s="41">
        <v>5</v>
      </c>
      <c r="F33" s="41" t="s">
        <v>237</v>
      </c>
    </row>
    <row r="34" spans="2:6" x14ac:dyDescent="0.3">
      <c r="B34" s="41">
        <v>13</v>
      </c>
      <c r="C34" s="41" t="s">
        <v>164</v>
      </c>
      <c r="D34" s="41" t="s">
        <v>665</v>
      </c>
      <c r="E34" s="41">
        <v>1</v>
      </c>
      <c r="F34" s="41" t="s">
        <v>677</v>
      </c>
    </row>
    <row r="35" spans="2:6" x14ac:dyDescent="0.3">
      <c r="B35" s="41">
        <v>14</v>
      </c>
      <c r="C35" s="41" t="s">
        <v>164</v>
      </c>
      <c r="D35" s="41" t="s">
        <v>665</v>
      </c>
      <c r="E35" s="41">
        <v>2</v>
      </c>
      <c r="F35" s="41" t="s">
        <v>678</v>
      </c>
    </row>
    <row r="36" spans="2:6" x14ac:dyDescent="0.3">
      <c r="B36" s="41">
        <v>15</v>
      </c>
      <c r="C36" s="41" t="s">
        <v>164</v>
      </c>
      <c r="D36" s="41" t="s">
        <v>665</v>
      </c>
      <c r="E36" s="41">
        <v>3</v>
      </c>
      <c r="F36" s="41" t="s">
        <v>679</v>
      </c>
    </row>
    <row r="37" spans="2:6" x14ac:dyDescent="0.3">
      <c r="B37" s="41">
        <v>16</v>
      </c>
      <c r="C37" s="41" t="s">
        <v>164</v>
      </c>
      <c r="D37" s="41" t="s">
        <v>666</v>
      </c>
      <c r="E37" s="41">
        <v>1</v>
      </c>
      <c r="F37" s="41" t="s">
        <v>680</v>
      </c>
    </row>
    <row r="38" spans="2:6" x14ac:dyDescent="0.3">
      <c r="B38" s="41">
        <v>17</v>
      </c>
      <c r="C38" s="41" t="s">
        <v>164</v>
      </c>
      <c r="D38" s="41" t="s">
        <v>666</v>
      </c>
      <c r="E38" s="41">
        <v>2</v>
      </c>
      <c r="F38" s="41" t="s">
        <v>681</v>
      </c>
    </row>
    <row r="39" spans="2:6" x14ac:dyDescent="0.3">
      <c r="B39" s="41">
        <v>18</v>
      </c>
      <c r="C39" s="41" t="s">
        <v>164</v>
      </c>
      <c r="D39" s="41" t="s">
        <v>666</v>
      </c>
      <c r="E39" s="41">
        <v>3</v>
      </c>
      <c r="F39" s="41" t="s">
        <v>682</v>
      </c>
    </row>
    <row r="40" spans="2:6" x14ac:dyDescent="0.3">
      <c r="B40" s="41">
        <v>19</v>
      </c>
      <c r="C40" s="41" t="s">
        <v>164</v>
      </c>
      <c r="D40" s="41" t="s">
        <v>667</v>
      </c>
      <c r="E40" s="41">
        <v>1</v>
      </c>
      <c r="F40" s="41" t="s">
        <v>683</v>
      </c>
    </row>
    <row r="41" spans="2:6" x14ac:dyDescent="0.3">
      <c r="B41" s="41">
        <v>20</v>
      </c>
      <c r="C41" s="41" t="s">
        <v>164</v>
      </c>
      <c r="D41" s="41" t="s">
        <v>667</v>
      </c>
      <c r="E41" s="41">
        <v>2</v>
      </c>
      <c r="F41" s="41" t="s">
        <v>684</v>
      </c>
    </row>
    <row r="42" spans="2:6" x14ac:dyDescent="0.3">
      <c r="B42" s="41">
        <v>21</v>
      </c>
      <c r="C42" s="41" t="s">
        <v>164</v>
      </c>
      <c r="D42" s="41" t="s">
        <v>667</v>
      </c>
      <c r="E42" s="41">
        <v>3</v>
      </c>
      <c r="F42" s="41" t="s">
        <v>685</v>
      </c>
    </row>
    <row r="43" spans="2:6" x14ac:dyDescent="0.3">
      <c r="B43" s="41">
        <v>22</v>
      </c>
      <c r="C43" s="41" t="s">
        <v>164</v>
      </c>
      <c r="D43" s="41" t="s">
        <v>668</v>
      </c>
      <c r="E43" s="41">
        <v>1</v>
      </c>
      <c r="F43" s="41" t="s">
        <v>686</v>
      </c>
    </row>
    <row r="44" spans="2:6" x14ac:dyDescent="0.3">
      <c r="B44" s="39">
        <v>23</v>
      </c>
      <c r="C44" s="39" t="s">
        <v>164</v>
      </c>
      <c r="D44" s="39" t="s">
        <v>668</v>
      </c>
      <c r="E44" s="39">
        <v>2</v>
      </c>
      <c r="F44" s="39" t="s">
        <v>687</v>
      </c>
    </row>
    <row r="45" spans="2:6" x14ac:dyDescent="0.3">
      <c r="B45" s="17">
        <v>25</v>
      </c>
      <c r="C45" s="17" t="s">
        <v>164</v>
      </c>
      <c r="D45" s="17" t="s">
        <v>669</v>
      </c>
      <c r="E45" s="17">
        <v>1</v>
      </c>
      <c r="F45" s="17" t="s">
        <v>688</v>
      </c>
    </row>
    <row r="46" spans="2:6" x14ac:dyDescent="0.3">
      <c r="B46" s="17">
        <v>26</v>
      </c>
      <c r="C46" s="17" t="s">
        <v>164</v>
      </c>
      <c r="D46" s="17" t="s">
        <v>669</v>
      </c>
      <c r="E46" s="17">
        <v>2</v>
      </c>
      <c r="F46" s="17" t="s">
        <v>689</v>
      </c>
    </row>
    <row r="47" spans="2:6" x14ac:dyDescent="0.3">
      <c r="B47" s="17">
        <v>27</v>
      </c>
      <c r="C47" s="17" t="s">
        <v>164</v>
      </c>
      <c r="D47" s="17" t="s">
        <v>669</v>
      </c>
      <c r="E47" s="17">
        <v>3</v>
      </c>
      <c r="F47" s="17" t="s">
        <v>690</v>
      </c>
    </row>
  </sheetData>
  <mergeCells count="1">
    <mergeCell ref="B2:F2"/>
  </mergeCells>
  <pageMargins left="0.25" right="0.25" top="0.75" bottom="0.75" header="0.3" footer="0.3"/>
  <pageSetup paperSize="9" scale="86" fitToHeight="0" orientation="landscape" horizontalDpi="300" verticalDpi="300" r:id="rId1"/>
  <headerFooter>
    <oddFooter>&amp;LPulse Oximetry allocation&amp;C&amp;A&amp;R&amp;P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2" tint="-0.249977111117893"/>
    <pageSetUpPr fitToPage="1"/>
  </sheetPr>
  <dimension ref="B2:I70"/>
  <sheetViews>
    <sheetView showGridLines="0" view="pageLayout" topLeftCell="A3" zoomScaleNormal="90" workbookViewId="0">
      <selection activeCell="C8" sqref="C8"/>
    </sheetView>
  </sheetViews>
  <sheetFormatPr defaultColWidth="8.5546875" defaultRowHeight="14.4" x14ac:dyDescent="0.3"/>
  <cols>
    <col min="2" max="2" width="26.109375" customWidth="1"/>
    <col min="3" max="3" width="28.109375" customWidth="1"/>
    <col min="4" max="4" width="23.6640625" customWidth="1"/>
  </cols>
  <sheetData>
    <row r="2" spans="2:5" ht="23.25" customHeight="1" x14ac:dyDescent="0.45">
      <c r="B2" s="99" t="s">
        <v>691</v>
      </c>
    </row>
    <row r="3" spans="2:5" x14ac:dyDescent="0.3">
      <c r="C3" s="199"/>
    </row>
    <row r="4" spans="2:5" ht="17.25" customHeight="1" x14ac:dyDescent="0.35">
      <c r="B4" s="100" t="s">
        <v>692</v>
      </c>
      <c r="C4" s="22">
        <v>43</v>
      </c>
    </row>
    <row r="5" spans="2:5" ht="15" customHeight="1" x14ac:dyDescent="0.3">
      <c r="B5" s="101" t="s">
        <v>288</v>
      </c>
    </row>
    <row r="7" spans="2:5" x14ac:dyDescent="0.3">
      <c r="B7" s="102" t="s">
        <v>289</v>
      </c>
      <c r="C7" s="57">
        <v>10</v>
      </c>
    </row>
    <row r="8" spans="2:5" x14ac:dyDescent="0.3">
      <c r="B8" s="102" t="s">
        <v>147</v>
      </c>
      <c r="C8" s="57">
        <v>30</v>
      </c>
      <c r="E8" s="58" t="s">
        <v>693</v>
      </c>
    </row>
    <row r="9" spans="2:5" x14ac:dyDescent="0.3">
      <c r="B9" s="103" t="s">
        <v>149</v>
      </c>
      <c r="C9" s="46">
        <v>3</v>
      </c>
      <c r="E9" s="58" t="s">
        <v>694</v>
      </c>
    </row>
    <row r="10" spans="2:5" x14ac:dyDescent="0.3">
      <c r="B10" s="104" t="s">
        <v>197</v>
      </c>
      <c r="C10" s="104" t="s">
        <v>215</v>
      </c>
      <c r="D10" s="7" t="s">
        <v>290</v>
      </c>
    </row>
    <row r="11" spans="2:5" x14ac:dyDescent="0.3">
      <c r="B11" s="8">
        <v>1</v>
      </c>
      <c r="C11" s="105" t="s">
        <v>695</v>
      </c>
      <c r="D11" s="9">
        <v>3</v>
      </c>
    </row>
    <row r="12" spans="2:5" x14ac:dyDescent="0.3">
      <c r="B12" s="8">
        <v>2</v>
      </c>
      <c r="C12" s="105" t="s">
        <v>696</v>
      </c>
      <c r="D12" s="9">
        <v>3</v>
      </c>
    </row>
    <row r="13" spans="2:5" x14ac:dyDescent="0.3">
      <c r="B13" s="8">
        <v>3</v>
      </c>
      <c r="C13" s="106" t="s">
        <v>697</v>
      </c>
      <c r="D13" s="107">
        <v>3</v>
      </c>
    </row>
    <row r="14" spans="2:5" x14ac:dyDescent="0.3">
      <c r="B14" s="8">
        <v>4</v>
      </c>
      <c r="C14" s="108" t="s">
        <v>238</v>
      </c>
      <c r="D14" s="15">
        <v>5</v>
      </c>
    </row>
    <row r="15" spans="2:5" x14ac:dyDescent="0.3">
      <c r="B15" s="8">
        <v>5</v>
      </c>
      <c r="C15" s="105" t="s">
        <v>698</v>
      </c>
      <c r="D15" s="9">
        <v>3</v>
      </c>
    </row>
    <row r="16" spans="2:5" x14ac:dyDescent="0.3">
      <c r="B16" s="8">
        <v>6</v>
      </c>
      <c r="C16" s="105" t="s">
        <v>699</v>
      </c>
      <c r="D16" s="9">
        <v>3</v>
      </c>
    </row>
    <row r="17" spans="2:6" x14ac:dyDescent="0.3">
      <c r="B17" s="8">
        <v>7</v>
      </c>
      <c r="C17" s="105" t="s">
        <v>700</v>
      </c>
      <c r="D17" s="9">
        <v>3</v>
      </c>
    </row>
    <row r="18" spans="2:6" x14ac:dyDescent="0.3">
      <c r="B18" s="8">
        <v>8</v>
      </c>
      <c r="C18" s="105" t="s">
        <v>701</v>
      </c>
      <c r="D18" s="9">
        <v>3</v>
      </c>
    </row>
    <row r="19" spans="2:6" x14ac:dyDescent="0.3">
      <c r="B19" s="8">
        <v>9</v>
      </c>
      <c r="C19" s="105" t="s">
        <v>702</v>
      </c>
      <c r="D19" s="9">
        <v>3</v>
      </c>
    </row>
    <row r="20" spans="2:6" x14ac:dyDescent="0.3">
      <c r="B20" s="8">
        <v>10</v>
      </c>
      <c r="C20" s="105" t="s">
        <v>244</v>
      </c>
      <c r="D20" s="9">
        <v>5</v>
      </c>
    </row>
    <row r="21" spans="2:6" x14ac:dyDescent="0.3">
      <c r="B21" s="8">
        <v>11</v>
      </c>
      <c r="C21" s="105" t="s">
        <v>703</v>
      </c>
      <c r="D21" s="9">
        <v>3</v>
      </c>
    </row>
    <row r="22" spans="2:6" x14ac:dyDescent="0.3">
      <c r="B22" s="8">
        <v>12</v>
      </c>
      <c r="C22" s="105" t="s">
        <v>704</v>
      </c>
      <c r="D22" s="9">
        <v>3</v>
      </c>
    </row>
    <row r="23" spans="2:6" x14ac:dyDescent="0.3">
      <c r="B23" s="16">
        <v>13</v>
      </c>
      <c r="C23" s="18" t="s">
        <v>697</v>
      </c>
      <c r="D23" s="9">
        <v>3</v>
      </c>
    </row>
    <row r="24" spans="2:6" x14ac:dyDescent="0.3">
      <c r="C24" s="109" t="s">
        <v>150</v>
      </c>
      <c r="D24" s="10">
        <f>SUM(D11:D23)</f>
        <v>43</v>
      </c>
    </row>
    <row r="25" spans="2:6" x14ac:dyDescent="0.3">
      <c r="C25" s="110"/>
      <c r="D25" s="111"/>
    </row>
    <row r="26" spans="2:6" x14ac:dyDescent="0.3">
      <c r="C26" s="110"/>
      <c r="D26" s="111"/>
    </row>
    <row r="27" spans="2:6" x14ac:dyDescent="0.3">
      <c r="B27" s="11" t="s">
        <v>197</v>
      </c>
      <c r="C27" s="104" t="s">
        <v>151</v>
      </c>
      <c r="D27" s="104" t="s">
        <v>215</v>
      </c>
      <c r="E27" s="11" t="s">
        <v>216</v>
      </c>
      <c r="F27" s="7" t="s">
        <v>217</v>
      </c>
    </row>
    <row r="28" spans="2:6" x14ac:dyDescent="0.3">
      <c r="B28" s="18">
        <v>1</v>
      </c>
      <c r="C28" s="18" t="s">
        <v>163</v>
      </c>
      <c r="D28" s="18" t="s">
        <v>695</v>
      </c>
      <c r="E28" s="18">
        <v>1</v>
      </c>
      <c r="F28" s="8" t="s">
        <v>705</v>
      </c>
    </row>
    <row r="29" spans="2:6" x14ac:dyDescent="0.3">
      <c r="B29" s="18">
        <v>2</v>
      </c>
      <c r="C29" s="18" t="s">
        <v>163</v>
      </c>
      <c r="D29" s="18" t="s">
        <v>695</v>
      </c>
      <c r="E29" s="18">
        <v>2</v>
      </c>
      <c r="F29" s="8" t="s">
        <v>706</v>
      </c>
    </row>
    <row r="30" spans="2:6" x14ac:dyDescent="0.3">
      <c r="B30" s="18">
        <v>3</v>
      </c>
      <c r="C30" s="18" t="s">
        <v>163</v>
      </c>
      <c r="D30" s="18" t="s">
        <v>695</v>
      </c>
      <c r="E30" s="18">
        <v>3</v>
      </c>
      <c r="F30" s="8" t="s">
        <v>707</v>
      </c>
    </row>
    <row r="31" spans="2:6" x14ac:dyDescent="0.3">
      <c r="B31" s="18">
        <v>4</v>
      </c>
      <c r="C31" s="18" t="s">
        <v>163</v>
      </c>
      <c r="D31" s="18" t="s">
        <v>696</v>
      </c>
      <c r="E31" s="18">
        <v>1</v>
      </c>
      <c r="F31" s="8" t="s">
        <v>708</v>
      </c>
    </row>
    <row r="32" spans="2:6" x14ac:dyDescent="0.3">
      <c r="B32" s="18">
        <v>5</v>
      </c>
      <c r="C32" s="18" t="s">
        <v>163</v>
      </c>
      <c r="D32" s="18" t="s">
        <v>696</v>
      </c>
      <c r="E32" s="18">
        <v>2</v>
      </c>
      <c r="F32" s="8" t="s">
        <v>709</v>
      </c>
    </row>
    <row r="33" spans="2:6" x14ac:dyDescent="0.3">
      <c r="B33" s="18">
        <v>6</v>
      </c>
      <c r="C33" s="18" t="s">
        <v>163</v>
      </c>
      <c r="D33" s="18" t="s">
        <v>696</v>
      </c>
      <c r="E33" s="18">
        <v>3</v>
      </c>
      <c r="F33" s="8" t="s">
        <v>710</v>
      </c>
    </row>
    <row r="34" spans="2:6" x14ac:dyDescent="0.3">
      <c r="B34" s="18">
        <v>7</v>
      </c>
      <c r="C34" s="18" t="s">
        <v>163</v>
      </c>
      <c r="D34" s="18" t="s">
        <v>711</v>
      </c>
      <c r="E34" s="18">
        <v>1</v>
      </c>
      <c r="F34" s="8" t="s">
        <v>712</v>
      </c>
    </row>
    <row r="35" spans="2:6" x14ac:dyDescent="0.3">
      <c r="B35" s="18">
        <v>8</v>
      </c>
      <c r="C35" s="18" t="s">
        <v>163</v>
      </c>
      <c r="D35" s="18" t="s">
        <v>711</v>
      </c>
      <c r="E35" s="18">
        <v>2</v>
      </c>
      <c r="F35" s="8" t="s">
        <v>713</v>
      </c>
    </row>
    <row r="36" spans="2:6" x14ac:dyDescent="0.3">
      <c r="B36" s="18">
        <v>9</v>
      </c>
      <c r="C36" s="18" t="s">
        <v>163</v>
      </c>
      <c r="D36" s="18" t="s">
        <v>711</v>
      </c>
      <c r="E36" s="18">
        <v>3</v>
      </c>
      <c r="F36" s="8" t="s">
        <v>714</v>
      </c>
    </row>
    <row r="37" spans="2:6" x14ac:dyDescent="0.3">
      <c r="B37" s="18">
        <v>10</v>
      </c>
      <c r="C37" s="18" t="s">
        <v>163</v>
      </c>
      <c r="D37" s="18" t="s">
        <v>238</v>
      </c>
      <c r="E37" s="18">
        <v>1</v>
      </c>
      <c r="F37" s="8" t="s">
        <v>239</v>
      </c>
    </row>
    <row r="38" spans="2:6" x14ac:dyDescent="0.3">
      <c r="B38" s="18">
        <v>11</v>
      </c>
      <c r="C38" s="18" t="s">
        <v>163</v>
      </c>
      <c r="D38" s="18" t="s">
        <v>238</v>
      </c>
      <c r="E38" s="18">
        <v>2</v>
      </c>
      <c r="F38" s="8" t="s">
        <v>240</v>
      </c>
    </row>
    <row r="39" spans="2:6" x14ac:dyDescent="0.3">
      <c r="B39" s="18">
        <v>12</v>
      </c>
      <c r="C39" s="18" t="s">
        <v>163</v>
      </c>
      <c r="D39" s="18" t="s">
        <v>238</v>
      </c>
      <c r="E39" s="18">
        <v>3</v>
      </c>
      <c r="F39" s="8" t="s">
        <v>241</v>
      </c>
    </row>
    <row r="40" spans="2:6" x14ac:dyDescent="0.3">
      <c r="B40" s="18">
        <v>13</v>
      </c>
      <c r="C40" s="18" t="s">
        <v>163</v>
      </c>
      <c r="D40" s="18" t="s">
        <v>238</v>
      </c>
      <c r="E40" s="18">
        <v>4</v>
      </c>
      <c r="F40" s="8" t="s">
        <v>242</v>
      </c>
    </row>
    <row r="41" spans="2:6" x14ac:dyDescent="0.3">
      <c r="B41" s="18">
        <v>14</v>
      </c>
      <c r="C41" s="18" t="s">
        <v>163</v>
      </c>
      <c r="D41" s="18" t="s">
        <v>238</v>
      </c>
      <c r="E41" s="18">
        <v>5</v>
      </c>
      <c r="F41" s="8" t="s">
        <v>243</v>
      </c>
    </row>
    <row r="42" spans="2:6" x14ac:dyDescent="0.3">
      <c r="B42" s="18">
        <v>15</v>
      </c>
      <c r="C42" s="18" t="s">
        <v>163</v>
      </c>
      <c r="D42" s="18" t="s">
        <v>698</v>
      </c>
      <c r="E42" s="18">
        <v>1</v>
      </c>
      <c r="F42" s="8" t="s">
        <v>715</v>
      </c>
    </row>
    <row r="43" spans="2:6" x14ac:dyDescent="0.3">
      <c r="B43" s="18">
        <v>16</v>
      </c>
      <c r="C43" s="18" t="s">
        <v>163</v>
      </c>
      <c r="D43" s="18" t="s">
        <v>698</v>
      </c>
      <c r="E43" s="18">
        <v>2</v>
      </c>
      <c r="F43" s="8" t="s">
        <v>716</v>
      </c>
    </row>
    <row r="44" spans="2:6" x14ac:dyDescent="0.3">
      <c r="B44" s="18">
        <v>17</v>
      </c>
      <c r="C44" s="18" t="s">
        <v>163</v>
      </c>
      <c r="D44" s="18" t="s">
        <v>698</v>
      </c>
      <c r="E44" s="18">
        <v>3</v>
      </c>
      <c r="F44" s="8" t="s">
        <v>717</v>
      </c>
    </row>
    <row r="45" spans="2:6" x14ac:dyDescent="0.3">
      <c r="B45" s="18">
        <v>18</v>
      </c>
      <c r="C45" s="18" t="s">
        <v>163</v>
      </c>
      <c r="D45" s="18" t="s">
        <v>699</v>
      </c>
      <c r="E45" s="18">
        <v>1</v>
      </c>
      <c r="F45" s="8" t="s">
        <v>718</v>
      </c>
    </row>
    <row r="46" spans="2:6" x14ac:dyDescent="0.3">
      <c r="B46" s="18">
        <v>19</v>
      </c>
      <c r="C46" s="18" t="s">
        <v>163</v>
      </c>
      <c r="D46" s="18" t="s">
        <v>699</v>
      </c>
      <c r="E46" s="18">
        <v>2</v>
      </c>
      <c r="F46" s="8" t="s">
        <v>719</v>
      </c>
    </row>
    <row r="47" spans="2:6" x14ac:dyDescent="0.3">
      <c r="B47" s="18">
        <v>20</v>
      </c>
      <c r="C47" s="18" t="s">
        <v>163</v>
      </c>
      <c r="D47" s="18" t="s">
        <v>699</v>
      </c>
      <c r="E47" s="18">
        <v>3</v>
      </c>
      <c r="F47" s="8" t="s">
        <v>720</v>
      </c>
    </row>
    <row r="48" spans="2:6" x14ac:dyDescent="0.3">
      <c r="B48" s="18">
        <v>21</v>
      </c>
      <c r="C48" s="18" t="s">
        <v>163</v>
      </c>
      <c r="D48" s="18" t="s">
        <v>700</v>
      </c>
      <c r="E48" s="18">
        <v>1</v>
      </c>
      <c r="F48" s="8" t="s">
        <v>721</v>
      </c>
    </row>
    <row r="49" spans="2:6" x14ac:dyDescent="0.3">
      <c r="B49" s="18">
        <v>22</v>
      </c>
      <c r="C49" s="18" t="s">
        <v>163</v>
      </c>
      <c r="D49" s="18" t="s">
        <v>700</v>
      </c>
      <c r="E49" s="18">
        <v>2</v>
      </c>
      <c r="F49" s="8" t="s">
        <v>722</v>
      </c>
    </row>
    <row r="50" spans="2:6" x14ac:dyDescent="0.3">
      <c r="B50" s="18">
        <v>23</v>
      </c>
      <c r="C50" s="18" t="s">
        <v>163</v>
      </c>
      <c r="D50" s="18" t="s">
        <v>700</v>
      </c>
      <c r="E50" s="18">
        <v>3</v>
      </c>
      <c r="F50" s="8" t="s">
        <v>723</v>
      </c>
    </row>
    <row r="51" spans="2:6" x14ac:dyDescent="0.3">
      <c r="B51" s="18">
        <v>24</v>
      </c>
      <c r="C51" s="18" t="s">
        <v>163</v>
      </c>
      <c r="D51" s="18" t="s">
        <v>701</v>
      </c>
      <c r="E51" s="18">
        <v>1</v>
      </c>
      <c r="F51" s="8" t="s">
        <v>724</v>
      </c>
    </row>
    <row r="52" spans="2:6" x14ac:dyDescent="0.3">
      <c r="B52" s="18">
        <v>25</v>
      </c>
      <c r="C52" s="18" t="s">
        <v>163</v>
      </c>
      <c r="D52" s="18" t="s">
        <v>701</v>
      </c>
      <c r="E52" s="18">
        <v>2</v>
      </c>
      <c r="F52" s="8" t="s">
        <v>725</v>
      </c>
    </row>
    <row r="53" spans="2:6" x14ac:dyDescent="0.3">
      <c r="B53" s="18">
        <v>26</v>
      </c>
      <c r="C53" s="18" t="s">
        <v>163</v>
      </c>
      <c r="D53" s="18" t="s">
        <v>701</v>
      </c>
      <c r="E53" s="18">
        <v>3</v>
      </c>
      <c r="F53" s="8" t="s">
        <v>726</v>
      </c>
    </row>
    <row r="54" spans="2:6" x14ac:dyDescent="0.3">
      <c r="B54" s="18">
        <v>27</v>
      </c>
      <c r="C54" s="18" t="s">
        <v>163</v>
      </c>
      <c r="D54" s="18" t="s">
        <v>702</v>
      </c>
      <c r="E54" s="18">
        <v>1</v>
      </c>
      <c r="F54" s="8" t="s">
        <v>727</v>
      </c>
    </row>
    <row r="55" spans="2:6" x14ac:dyDescent="0.3">
      <c r="B55" s="18">
        <v>28</v>
      </c>
      <c r="C55" s="18" t="s">
        <v>163</v>
      </c>
      <c r="D55" s="18" t="s">
        <v>702</v>
      </c>
      <c r="E55" s="18">
        <v>2</v>
      </c>
      <c r="F55" s="8" t="s">
        <v>728</v>
      </c>
    </row>
    <row r="56" spans="2:6" x14ac:dyDescent="0.3">
      <c r="B56" s="18">
        <v>29</v>
      </c>
      <c r="C56" s="18" t="s">
        <v>163</v>
      </c>
      <c r="D56" s="18" t="s">
        <v>702</v>
      </c>
      <c r="E56" s="18">
        <v>3</v>
      </c>
      <c r="F56" s="8" t="s">
        <v>729</v>
      </c>
    </row>
    <row r="57" spans="2:6" x14ac:dyDescent="0.3">
      <c r="B57" s="18">
        <v>30</v>
      </c>
      <c r="C57" s="18" t="s">
        <v>163</v>
      </c>
      <c r="D57" s="18" t="s">
        <v>244</v>
      </c>
      <c r="E57" s="18">
        <v>1</v>
      </c>
      <c r="F57" s="8" t="s">
        <v>245</v>
      </c>
    </row>
    <row r="58" spans="2:6" x14ac:dyDescent="0.3">
      <c r="B58" s="18">
        <v>31</v>
      </c>
      <c r="C58" s="18" t="s">
        <v>163</v>
      </c>
      <c r="D58" s="18" t="s">
        <v>244</v>
      </c>
      <c r="E58" s="18">
        <v>2</v>
      </c>
      <c r="F58" s="8" t="s">
        <v>246</v>
      </c>
    </row>
    <row r="59" spans="2:6" x14ac:dyDescent="0.3">
      <c r="B59" s="18">
        <v>32</v>
      </c>
      <c r="C59" s="18" t="s">
        <v>163</v>
      </c>
      <c r="D59" s="18" t="s">
        <v>244</v>
      </c>
      <c r="E59" s="18">
        <v>3</v>
      </c>
      <c r="F59" s="8" t="s">
        <v>247</v>
      </c>
    </row>
    <row r="60" spans="2:6" x14ac:dyDescent="0.3">
      <c r="B60" s="18">
        <v>33</v>
      </c>
      <c r="C60" s="18" t="s">
        <v>163</v>
      </c>
      <c r="D60" s="18" t="s">
        <v>244</v>
      </c>
      <c r="E60" s="18">
        <v>4</v>
      </c>
      <c r="F60" s="8" t="s">
        <v>248</v>
      </c>
    </row>
    <row r="61" spans="2:6" x14ac:dyDescent="0.3">
      <c r="B61" s="18">
        <v>34</v>
      </c>
      <c r="C61" s="18" t="s">
        <v>163</v>
      </c>
      <c r="D61" s="18" t="s">
        <v>244</v>
      </c>
      <c r="E61" s="18">
        <v>5</v>
      </c>
      <c r="F61" s="8" t="s">
        <v>249</v>
      </c>
    </row>
    <row r="62" spans="2:6" x14ac:dyDescent="0.3">
      <c r="B62" s="18">
        <v>35</v>
      </c>
      <c r="C62" s="18" t="s">
        <v>163</v>
      </c>
      <c r="D62" s="18" t="s">
        <v>703</v>
      </c>
      <c r="E62" s="18">
        <v>1</v>
      </c>
      <c r="F62" s="8" t="s">
        <v>730</v>
      </c>
    </row>
    <row r="63" spans="2:6" x14ac:dyDescent="0.3">
      <c r="B63" s="18">
        <v>36</v>
      </c>
      <c r="C63" s="18" t="s">
        <v>163</v>
      </c>
      <c r="D63" s="18" t="s">
        <v>703</v>
      </c>
      <c r="E63" s="18">
        <v>2</v>
      </c>
      <c r="F63" s="8" t="s">
        <v>731</v>
      </c>
    </row>
    <row r="64" spans="2:6" x14ac:dyDescent="0.3">
      <c r="B64" s="18">
        <v>37</v>
      </c>
      <c r="C64" s="18" t="s">
        <v>163</v>
      </c>
      <c r="D64" s="18" t="s">
        <v>703</v>
      </c>
      <c r="E64" s="18">
        <v>3</v>
      </c>
      <c r="F64" s="8" t="s">
        <v>732</v>
      </c>
    </row>
    <row r="65" spans="2:9" x14ac:dyDescent="0.3">
      <c r="B65" s="18">
        <v>38</v>
      </c>
      <c r="C65" s="18" t="s">
        <v>163</v>
      </c>
      <c r="D65" s="18" t="s">
        <v>704</v>
      </c>
      <c r="E65" s="18">
        <v>1</v>
      </c>
      <c r="F65" s="8" t="s">
        <v>733</v>
      </c>
    </row>
    <row r="66" spans="2:9" x14ac:dyDescent="0.3">
      <c r="B66" s="18">
        <v>39</v>
      </c>
      <c r="C66" s="18" t="s">
        <v>163</v>
      </c>
      <c r="D66" s="18" t="s">
        <v>704</v>
      </c>
      <c r="E66" s="18">
        <v>2</v>
      </c>
      <c r="F66" s="8" t="s">
        <v>734</v>
      </c>
    </row>
    <row r="67" spans="2:9" ht="15" customHeight="1" x14ac:dyDescent="0.3">
      <c r="B67" s="18">
        <v>40</v>
      </c>
      <c r="C67" s="18" t="s">
        <v>163</v>
      </c>
      <c r="D67" s="18" t="s">
        <v>704</v>
      </c>
      <c r="E67" s="18">
        <v>3</v>
      </c>
      <c r="F67" s="8" t="s">
        <v>735</v>
      </c>
    </row>
    <row r="68" spans="2:9" ht="15" customHeight="1" x14ac:dyDescent="0.3">
      <c r="B68" s="112">
        <v>41</v>
      </c>
      <c r="C68" s="112" t="s">
        <v>163</v>
      </c>
      <c r="D68" s="112" t="s">
        <v>697</v>
      </c>
      <c r="E68" s="112">
        <v>1</v>
      </c>
      <c r="F68" s="113" t="s">
        <v>736</v>
      </c>
      <c r="H68" s="114"/>
      <c r="I68" s="115" t="s">
        <v>737</v>
      </c>
    </row>
    <row r="69" spans="2:9" x14ac:dyDescent="0.3">
      <c r="B69" s="112">
        <v>42</v>
      </c>
      <c r="C69" s="112" t="s">
        <v>163</v>
      </c>
      <c r="D69" s="112" t="s">
        <v>697</v>
      </c>
      <c r="E69" s="112">
        <v>2</v>
      </c>
      <c r="F69" s="113" t="s">
        <v>738</v>
      </c>
    </row>
    <row r="70" spans="2:9" x14ac:dyDescent="0.3">
      <c r="B70" s="116">
        <v>43</v>
      </c>
      <c r="C70" s="116" t="s">
        <v>163</v>
      </c>
      <c r="D70" s="116" t="s">
        <v>697</v>
      </c>
      <c r="E70" s="116">
        <v>3</v>
      </c>
      <c r="F70" s="117" t="s">
        <v>739</v>
      </c>
    </row>
  </sheetData>
  <pageMargins left="0.25" right="0.25" top="0.75" bottom="0.75" header="0.3" footer="0.3"/>
  <pageSetup paperSize="9" scale="92" fitToHeight="0" orientation="landscape" horizontalDpi="300" verticalDpi="300" r:id="rId1"/>
  <headerFooter>
    <oddFooter>&amp;LPulse Oximetry allocation&amp;C&amp;A&amp;R&amp;P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2" tint="-0.249977111117893"/>
    <pageSetUpPr fitToPage="1"/>
  </sheetPr>
  <dimension ref="B2:F44"/>
  <sheetViews>
    <sheetView showGridLines="0" view="pageLayout" topLeftCell="C1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28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740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741</v>
      </c>
      <c r="C4" s="22">
        <v>25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17</v>
      </c>
      <c r="E8" s="38" t="s">
        <v>742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743</v>
      </c>
      <c r="D11" s="40">
        <v>3</v>
      </c>
    </row>
    <row r="12" spans="2:6" x14ac:dyDescent="0.3">
      <c r="B12" s="39">
        <v>2</v>
      </c>
      <c r="C12" s="39" t="s">
        <v>744</v>
      </c>
      <c r="D12" s="40">
        <v>3</v>
      </c>
    </row>
    <row r="13" spans="2:6" x14ac:dyDescent="0.3">
      <c r="B13" s="39">
        <v>3</v>
      </c>
      <c r="C13" s="39" t="s">
        <v>207</v>
      </c>
      <c r="D13" s="40">
        <v>5</v>
      </c>
    </row>
    <row r="14" spans="2:6" x14ac:dyDescent="0.3">
      <c r="B14" s="39">
        <v>4</v>
      </c>
      <c r="C14" s="39" t="s">
        <v>745</v>
      </c>
      <c r="D14" s="40">
        <v>4</v>
      </c>
    </row>
    <row r="15" spans="2:6" x14ac:dyDescent="0.3">
      <c r="B15" s="39">
        <v>5</v>
      </c>
      <c r="C15" s="39" t="s">
        <v>746</v>
      </c>
      <c r="D15" s="40">
        <v>4</v>
      </c>
    </row>
    <row r="16" spans="2:6" x14ac:dyDescent="0.3">
      <c r="B16" s="39">
        <v>6</v>
      </c>
      <c r="C16" s="39" t="s">
        <v>747</v>
      </c>
      <c r="D16" s="40">
        <v>3</v>
      </c>
    </row>
    <row r="17" spans="2:6" x14ac:dyDescent="0.3">
      <c r="B17" s="17">
        <v>7</v>
      </c>
      <c r="C17" s="17" t="s">
        <v>748</v>
      </c>
      <c r="D17" s="13">
        <v>3</v>
      </c>
    </row>
    <row r="18" spans="2:6" x14ac:dyDescent="0.3">
      <c r="C18" s="56" t="s">
        <v>150</v>
      </c>
      <c r="D18" s="98">
        <f>SUM(D11:D17)</f>
        <v>25</v>
      </c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165</v>
      </c>
      <c r="D21" s="41" t="s">
        <v>743</v>
      </c>
      <c r="E21" s="41">
        <v>1</v>
      </c>
      <c r="F21" s="41" t="s">
        <v>749</v>
      </c>
    </row>
    <row r="22" spans="2:6" x14ac:dyDescent="0.3">
      <c r="B22" s="41">
        <v>2</v>
      </c>
      <c r="C22" s="41" t="s">
        <v>165</v>
      </c>
      <c r="D22" s="41" t="s">
        <v>743</v>
      </c>
      <c r="E22" s="41">
        <v>2</v>
      </c>
      <c r="F22" s="41" t="s">
        <v>750</v>
      </c>
    </row>
    <row r="23" spans="2:6" x14ac:dyDescent="0.3">
      <c r="B23" s="41">
        <v>3</v>
      </c>
      <c r="C23" s="41" t="s">
        <v>165</v>
      </c>
      <c r="D23" s="41" t="s">
        <v>743</v>
      </c>
      <c r="E23" s="41">
        <v>3</v>
      </c>
      <c r="F23" s="41" t="s">
        <v>751</v>
      </c>
    </row>
    <row r="24" spans="2:6" x14ac:dyDescent="0.3">
      <c r="B24" s="41">
        <v>4</v>
      </c>
      <c r="C24" s="41" t="s">
        <v>165</v>
      </c>
      <c r="D24" s="41" t="s">
        <v>744</v>
      </c>
      <c r="E24" s="41">
        <v>1</v>
      </c>
      <c r="F24" s="41" t="s">
        <v>752</v>
      </c>
    </row>
    <row r="25" spans="2:6" x14ac:dyDescent="0.3">
      <c r="B25" s="41">
        <v>5</v>
      </c>
      <c r="C25" s="41" t="s">
        <v>165</v>
      </c>
      <c r="D25" s="41" t="s">
        <v>744</v>
      </c>
      <c r="E25" s="41">
        <v>2</v>
      </c>
      <c r="F25" s="41" t="s">
        <v>753</v>
      </c>
    </row>
    <row r="26" spans="2:6" x14ac:dyDescent="0.3">
      <c r="B26" s="41">
        <v>6</v>
      </c>
      <c r="C26" s="41" t="s">
        <v>165</v>
      </c>
      <c r="D26" s="41" t="s">
        <v>744</v>
      </c>
      <c r="E26" s="41">
        <v>3</v>
      </c>
      <c r="F26" s="41" t="s">
        <v>754</v>
      </c>
    </row>
    <row r="27" spans="2:6" x14ac:dyDescent="0.3">
      <c r="B27" s="41">
        <v>7</v>
      </c>
      <c r="C27" s="41" t="s">
        <v>165</v>
      </c>
      <c r="D27" s="41" t="s">
        <v>207</v>
      </c>
      <c r="E27" s="41">
        <v>1</v>
      </c>
      <c r="F27" s="41" t="s">
        <v>250</v>
      </c>
    </row>
    <row r="28" spans="2:6" x14ac:dyDescent="0.3">
      <c r="B28" s="41">
        <v>8</v>
      </c>
      <c r="C28" s="41" t="s">
        <v>165</v>
      </c>
      <c r="D28" s="41" t="s">
        <v>207</v>
      </c>
      <c r="E28" s="41">
        <v>2</v>
      </c>
      <c r="F28" s="41" t="s">
        <v>251</v>
      </c>
    </row>
    <row r="29" spans="2:6" x14ac:dyDescent="0.3">
      <c r="B29" s="41">
        <v>9</v>
      </c>
      <c r="C29" s="41" t="s">
        <v>165</v>
      </c>
      <c r="D29" s="41" t="s">
        <v>207</v>
      </c>
      <c r="E29" s="41">
        <v>3</v>
      </c>
      <c r="F29" s="41" t="s">
        <v>252</v>
      </c>
    </row>
    <row r="30" spans="2:6" x14ac:dyDescent="0.3">
      <c r="B30" s="41">
        <v>10</v>
      </c>
      <c r="C30" s="41" t="s">
        <v>165</v>
      </c>
      <c r="D30" s="41" t="s">
        <v>207</v>
      </c>
      <c r="E30" s="41">
        <v>4</v>
      </c>
      <c r="F30" s="41" t="s">
        <v>253</v>
      </c>
    </row>
    <row r="31" spans="2:6" x14ac:dyDescent="0.3">
      <c r="B31" s="41">
        <v>11</v>
      </c>
      <c r="C31" s="41" t="s">
        <v>165</v>
      </c>
      <c r="D31" s="41" t="s">
        <v>207</v>
      </c>
      <c r="E31" s="41">
        <v>5</v>
      </c>
      <c r="F31" s="41" t="s">
        <v>254</v>
      </c>
    </row>
    <row r="32" spans="2:6" x14ac:dyDescent="0.3">
      <c r="B32" s="41">
        <v>12</v>
      </c>
      <c r="C32" s="41" t="s">
        <v>165</v>
      </c>
      <c r="D32" s="41" t="s">
        <v>745</v>
      </c>
      <c r="E32" s="41">
        <v>1</v>
      </c>
      <c r="F32" s="41" t="s">
        <v>755</v>
      </c>
    </row>
    <row r="33" spans="2:6" x14ac:dyDescent="0.3">
      <c r="B33" s="41">
        <v>13</v>
      </c>
      <c r="C33" s="41" t="s">
        <v>165</v>
      </c>
      <c r="D33" s="41" t="s">
        <v>745</v>
      </c>
      <c r="E33" s="41">
        <v>2</v>
      </c>
      <c r="F33" s="41" t="s">
        <v>756</v>
      </c>
    </row>
    <row r="34" spans="2:6" x14ac:dyDescent="0.3">
      <c r="B34" s="41">
        <v>14</v>
      </c>
      <c r="C34" s="41" t="s">
        <v>165</v>
      </c>
      <c r="D34" s="41" t="s">
        <v>745</v>
      </c>
      <c r="E34" s="41">
        <v>3</v>
      </c>
      <c r="F34" s="41" t="s">
        <v>757</v>
      </c>
    </row>
    <row r="35" spans="2:6" x14ac:dyDescent="0.3">
      <c r="B35" s="41">
        <v>15</v>
      </c>
      <c r="C35" s="41" t="s">
        <v>165</v>
      </c>
      <c r="D35" s="41" t="s">
        <v>745</v>
      </c>
      <c r="E35" s="41">
        <v>4</v>
      </c>
      <c r="F35" s="41" t="s">
        <v>758</v>
      </c>
    </row>
    <row r="36" spans="2:6" x14ac:dyDescent="0.3">
      <c r="B36" s="41">
        <v>16</v>
      </c>
      <c r="C36" s="41" t="s">
        <v>165</v>
      </c>
      <c r="D36" s="41" t="s">
        <v>746</v>
      </c>
      <c r="E36" s="41">
        <v>1</v>
      </c>
      <c r="F36" s="41" t="s">
        <v>759</v>
      </c>
    </row>
    <row r="37" spans="2:6" x14ac:dyDescent="0.3">
      <c r="B37" s="41">
        <v>17</v>
      </c>
      <c r="C37" s="41" t="s">
        <v>165</v>
      </c>
      <c r="D37" s="41" t="s">
        <v>746</v>
      </c>
      <c r="E37" s="41">
        <v>2</v>
      </c>
      <c r="F37" s="41" t="s">
        <v>760</v>
      </c>
    </row>
    <row r="38" spans="2:6" x14ac:dyDescent="0.3">
      <c r="B38" s="41">
        <v>18</v>
      </c>
      <c r="C38" s="41" t="s">
        <v>165</v>
      </c>
      <c r="D38" s="41" t="s">
        <v>746</v>
      </c>
      <c r="E38" s="41">
        <v>3</v>
      </c>
      <c r="F38" s="41" t="s">
        <v>761</v>
      </c>
    </row>
    <row r="39" spans="2:6" x14ac:dyDescent="0.3">
      <c r="B39" s="41">
        <v>19</v>
      </c>
      <c r="C39" s="41" t="s">
        <v>165</v>
      </c>
      <c r="D39" s="41" t="s">
        <v>746</v>
      </c>
      <c r="E39" s="41">
        <v>4</v>
      </c>
      <c r="F39" s="41" t="s">
        <v>762</v>
      </c>
    </row>
    <row r="40" spans="2:6" x14ac:dyDescent="0.3">
      <c r="B40" s="41">
        <v>20</v>
      </c>
      <c r="C40" s="41" t="s">
        <v>165</v>
      </c>
      <c r="D40" s="41" t="s">
        <v>747</v>
      </c>
      <c r="E40" s="41">
        <v>1</v>
      </c>
      <c r="F40" s="41" t="s">
        <v>763</v>
      </c>
    </row>
    <row r="41" spans="2:6" x14ac:dyDescent="0.3">
      <c r="B41" s="39">
        <v>21</v>
      </c>
      <c r="C41" s="39" t="s">
        <v>165</v>
      </c>
      <c r="D41" s="39" t="s">
        <v>747</v>
      </c>
      <c r="E41" s="39">
        <v>2</v>
      </c>
      <c r="F41" s="39" t="s">
        <v>764</v>
      </c>
    </row>
    <row r="42" spans="2:6" x14ac:dyDescent="0.3">
      <c r="B42" s="17">
        <v>23</v>
      </c>
      <c r="C42" s="17" t="s">
        <v>165</v>
      </c>
      <c r="D42" s="17" t="s">
        <v>748</v>
      </c>
      <c r="E42" s="17">
        <v>1</v>
      </c>
      <c r="F42" s="17" t="s">
        <v>765</v>
      </c>
    </row>
    <row r="43" spans="2:6" x14ac:dyDescent="0.3">
      <c r="B43" s="17">
        <v>24</v>
      </c>
      <c r="C43" s="17" t="s">
        <v>165</v>
      </c>
      <c r="D43" s="17" t="s">
        <v>748</v>
      </c>
      <c r="E43" s="17">
        <v>2</v>
      </c>
      <c r="F43" s="17" t="s">
        <v>766</v>
      </c>
    </row>
    <row r="44" spans="2:6" x14ac:dyDescent="0.3">
      <c r="B44" s="17">
        <v>25</v>
      </c>
      <c r="C44" s="17" t="s">
        <v>165</v>
      </c>
      <c r="D44" s="17" t="s">
        <v>748</v>
      </c>
      <c r="E44" s="17">
        <v>3</v>
      </c>
      <c r="F44" s="17" t="s">
        <v>767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2" tint="-0.249977111117893"/>
    <pageSetUpPr fitToPage="1"/>
  </sheetPr>
  <dimension ref="B2:F31"/>
  <sheetViews>
    <sheetView showGridLines="0" view="pageLayout" zoomScaleNormal="90" workbookViewId="0">
      <selection activeCell="E1" sqref="E1:E1048576"/>
    </sheetView>
  </sheetViews>
  <sheetFormatPr defaultColWidth="7.5546875" defaultRowHeight="14.4" x14ac:dyDescent="0.3"/>
  <cols>
    <col min="1" max="1" width="2.6640625" customWidth="1"/>
    <col min="2" max="2" width="28.6640625" customWidth="1"/>
    <col min="3" max="3" width="22.44140625" customWidth="1"/>
    <col min="4" max="4" width="44.5546875" customWidth="1"/>
    <col min="5" max="5" width="11.44140625" customWidth="1"/>
    <col min="6" max="6" width="15.33203125" customWidth="1"/>
  </cols>
  <sheetData>
    <row r="2" spans="2:6" ht="23.85" customHeight="1" thickBot="1" x14ac:dyDescent="0.35">
      <c r="B2" s="244" t="s">
        <v>768</v>
      </c>
      <c r="C2" s="244"/>
      <c r="D2" s="244"/>
      <c r="E2" s="244"/>
      <c r="F2" s="244"/>
    </row>
    <row r="3" spans="2:6" x14ac:dyDescent="0.3">
      <c r="B3" s="199"/>
      <c r="C3" s="199"/>
      <c r="D3" s="199"/>
      <c r="E3" s="199"/>
      <c r="F3" s="199"/>
    </row>
    <row r="4" spans="2:6" ht="18" customHeight="1" x14ac:dyDescent="0.3">
      <c r="B4" s="203" t="s">
        <v>769</v>
      </c>
      <c r="C4" s="204">
        <v>14</v>
      </c>
      <c r="D4" s="199"/>
      <c r="E4" s="199"/>
      <c r="F4" s="199"/>
    </row>
    <row r="5" spans="2:6" ht="15.75" customHeight="1" thickBot="1" x14ac:dyDescent="0.35">
      <c r="B5" s="205" t="s">
        <v>288</v>
      </c>
      <c r="C5" s="199"/>
      <c r="D5" s="199"/>
      <c r="E5" s="199"/>
      <c r="F5" s="199"/>
    </row>
    <row r="6" spans="2:6" x14ac:dyDescent="0.3">
      <c r="B6" s="199"/>
      <c r="C6" s="199"/>
      <c r="D6" s="199"/>
      <c r="E6" s="199"/>
      <c r="F6" s="199"/>
    </row>
    <row r="7" spans="2:6" x14ac:dyDescent="0.3">
      <c r="B7" s="206" t="s">
        <v>289</v>
      </c>
      <c r="C7" s="206">
        <v>5</v>
      </c>
      <c r="D7" s="199"/>
      <c r="E7" s="199"/>
      <c r="F7" s="199"/>
    </row>
    <row r="8" spans="2:6" x14ac:dyDescent="0.3">
      <c r="B8" s="206" t="s">
        <v>147</v>
      </c>
      <c r="C8" s="206">
        <v>9</v>
      </c>
      <c r="D8" s="199"/>
      <c r="E8" s="199" t="s">
        <v>770</v>
      </c>
      <c r="F8" s="199"/>
    </row>
    <row r="9" spans="2:6" ht="7.95" customHeight="1" x14ac:dyDescent="0.3">
      <c r="B9" s="199"/>
      <c r="C9" s="199"/>
      <c r="D9" s="199"/>
      <c r="E9" s="199"/>
      <c r="F9" s="199"/>
    </row>
    <row r="10" spans="2:6" x14ac:dyDescent="0.3">
      <c r="B10" s="216" t="s">
        <v>197</v>
      </c>
      <c r="C10" s="217" t="s">
        <v>215</v>
      </c>
      <c r="D10" s="218" t="s">
        <v>290</v>
      </c>
      <c r="E10" s="199"/>
      <c r="F10" s="199"/>
    </row>
    <row r="11" spans="2:6" ht="12.9" customHeight="1" x14ac:dyDescent="0.3">
      <c r="B11" s="215">
        <v>1</v>
      </c>
      <c r="C11" s="219" t="s">
        <v>208</v>
      </c>
      <c r="D11" s="215">
        <v>5</v>
      </c>
      <c r="E11" s="199"/>
      <c r="F11" s="199"/>
    </row>
    <row r="12" spans="2:6" ht="12.9" customHeight="1" x14ac:dyDescent="0.3">
      <c r="B12" s="214">
        <v>2</v>
      </c>
      <c r="C12" s="220" t="s">
        <v>771</v>
      </c>
      <c r="D12" s="214">
        <v>3</v>
      </c>
      <c r="E12" s="199"/>
      <c r="F12" s="199"/>
    </row>
    <row r="13" spans="2:6" ht="12.9" customHeight="1" x14ac:dyDescent="0.3">
      <c r="B13" s="214">
        <v>3</v>
      </c>
      <c r="C13" s="220" t="s">
        <v>772</v>
      </c>
      <c r="D13" s="214">
        <v>3</v>
      </c>
      <c r="E13" s="199"/>
      <c r="F13" s="199"/>
    </row>
    <row r="14" spans="2:6" ht="12.9" customHeight="1" x14ac:dyDescent="0.3">
      <c r="B14" s="214">
        <v>4</v>
      </c>
      <c r="C14" s="220" t="s">
        <v>773</v>
      </c>
      <c r="D14" s="214">
        <v>3</v>
      </c>
      <c r="E14" s="199"/>
      <c r="F14" s="199"/>
    </row>
    <row r="15" spans="2:6" ht="15.75" customHeight="1" x14ac:dyDescent="0.3">
      <c r="B15" s="221"/>
      <c r="C15" s="222" t="s">
        <v>150</v>
      </c>
      <c r="D15" s="223">
        <f>SUM(D11:D14)</f>
        <v>14</v>
      </c>
      <c r="E15" s="199"/>
      <c r="F15" s="199"/>
    </row>
    <row r="16" spans="2:6" x14ac:dyDescent="0.3">
      <c r="B16" s="199"/>
      <c r="C16" s="199"/>
      <c r="D16" s="199"/>
      <c r="E16" s="199"/>
      <c r="F16" s="199"/>
    </row>
    <row r="17" spans="2:6" ht="15.75" customHeight="1" x14ac:dyDescent="0.3">
      <c r="B17" s="207" t="s">
        <v>197</v>
      </c>
      <c r="C17" s="208" t="s">
        <v>151</v>
      </c>
      <c r="D17" s="208" t="s">
        <v>215</v>
      </c>
      <c r="E17" s="209" t="s">
        <v>216</v>
      </c>
      <c r="F17" s="207" t="s">
        <v>217</v>
      </c>
    </row>
    <row r="18" spans="2:6" x14ac:dyDescent="0.3">
      <c r="B18" s="210">
        <v>1</v>
      </c>
      <c r="C18" s="211" t="s">
        <v>166</v>
      </c>
      <c r="D18" s="211" t="s">
        <v>208</v>
      </c>
      <c r="E18" s="212">
        <v>1</v>
      </c>
      <c r="F18" s="213" t="s">
        <v>255</v>
      </c>
    </row>
    <row r="19" spans="2:6" x14ac:dyDescent="0.3">
      <c r="B19" s="210">
        <v>2</v>
      </c>
      <c r="C19" s="211" t="s">
        <v>166</v>
      </c>
      <c r="D19" s="211" t="s">
        <v>208</v>
      </c>
      <c r="E19" s="212">
        <v>2</v>
      </c>
      <c r="F19" s="213" t="s">
        <v>256</v>
      </c>
    </row>
    <row r="20" spans="2:6" x14ac:dyDescent="0.3">
      <c r="B20" s="210">
        <v>3</v>
      </c>
      <c r="C20" s="211" t="s">
        <v>166</v>
      </c>
      <c r="D20" s="211" t="s">
        <v>208</v>
      </c>
      <c r="E20" s="212">
        <v>3</v>
      </c>
      <c r="F20" s="213" t="s">
        <v>257</v>
      </c>
    </row>
    <row r="21" spans="2:6" x14ac:dyDescent="0.3">
      <c r="B21" s="210">
        <v>4</v>
      </c>
      <c r="C21" s="211" t="s">
        <v>166</v>
      </c>
      <c r="D21" s="211" t="s">
        <v>208</v>
      </c>
      <c r="E21" s="212">
        <v>4</v>
      </c>
      <c r="F21" s="213" t="s">
        <v>258</v>
      </c>
    </row>
    <row r="22" spans="2:6" x14ac:dyDescent="0.3">
      <c r="B22" s="210">
        <v>5</v>
      </c>
      <c r="C22" s="211" t="s">
        <v>166</v>
      </c>
      <c r="D22" s="211" t="s">
        <v>208</v>
      </c>
      <c r="E22" s="212">
        <v>5</v>
      </c>
      <c r="F22" s="213" t="s">
        <v>259</v>
      </c>
    </row>
    <row r="23" spans="2:6" x14ac:dyDescent="0.3">
      <c r="B23" s="210">
        <v>6</v>
      </c>
      <c r="C23" s="211" t="s">
        <v>166</v>
      </c>
      <c r="D23" s="211" t="s">
        <v>771</v>
      </c>
      <c r="E23" s="212">
        <v>1</v>
      </c>
      <c r="F23" s="213" t="s">
        <v>774</v>
      </c>
    </row>
    <row r="24" spans="2:6" x14ac:dyDescent="0.3">
      <c r="B24" s="210">
        <v>7</v>
      </c>
      <c r="C24" s="211" t="s">
        <v>166</v>
      </c>
      <c r="D24" s="211" t="s">
        <v>771</v>
      </c>
      <c r="E24" s="212">
        <v>2</v>
      </c>
      <c r="F24" s="213" t="s">
        <v>775</v>
      </c>
    </row>
    <row r="25" spans="2:6" x14ac:dyDescent="0.3">
      <c r="B25" s="210">
        <v>8</v>
      </c>
      <c r="C25" s="211" t="s">
        <v>166</v>
      </c>
      <c r="D25" s="211" t="s">
        <v>771</v>
      </c>
      <c r="E25" s="212">
        <v>3</v>
      </c>
      <c r="F25" s="213" t="s">
        <v>776</v>
      </c>
    </row>
    <row r="26" spans="2:6" x14ac:dyDescent="0.3">
      <c r="B26" s="210">
        <v>9</v>
      </c>
      <c r="C26" s="211" t="s">
        <v>166</v>
      </c>
      <c r="D26" s="211" t="s">
        <v>772</v>
      </c>
      <c r="E26" s="212">
        <v>1</v>
      </c>
      <c r="F26" s="213" t="s">
        <v>777</v>
      </c>
    </row>
    <row r="27" spans="2:6" x14ac:dyDescent="0.3">
      <c r="B27" s="210">
        <v>10</v>
      </c>
      <c r="C27" s="211" t="s">
        <v>166</v>
      </c>
      <c r="D27" s="211" t="s">
        <v>772</v>
      </c>
      <c r="E27" s="212">
        <v>2</v>
      </c>
      <c r="F27" s="213" t="s">
        <v>778</v>
      </c>
    </row>
    <row r="28" spans="2:6" x14ac:dyDescent="0.3">
      <c r="B28" s="210">
        <v>11</v>
      </c>
      <c r="C28" s="211" t="s">
        <v>166</v>
      </c>
      <c r="D28" s="211" t="s">
        <v>772</v>
      </c>
      <c r="E28" s="212">
        <v>3</v>
      </c>
      <c r="F28" s="213" t="s">
        <v>779</v>
      </c>
    </row>
    <row r="29" spans="2:6" x14ac:dyDescent="0.3">
      <c r="B29" s="210">
        <v>12</v>
      </c>
      <c r="C29" s="211" t="s">
        <v>166</v>
      </c>
      <c r="D29" s="211" t="s">
        <v>773</v>
      </c>
      <c r="E29" s="212">
        <v>1</v>
      </c>
      <c r="F29" s="213" t="s">
        <v>780</v>
      </c>
    </row>
    <row r="30" spans="2:6" x14ac:dyDescent="0.3">
      <c r="B30" s="210">
        <v>13</v>
      </c>
      <c r="C30" s="211" t="s">
        <v>166</v>
      </c>
      <c r="D30" s="211" t="s">
        <v>773</v>
      </c>
      <c r="E30" s="212">
        <v>2</v>
      </c>
      <c r="F30" s="213" t="s">
        <v>781</v>
      </c>
    </row>
    <row r="31" spans="2:6" x14ac:dyDescent="0.3">
      <c r="B31" s="210">
        <v>14</v>
      </c>
      <c r="C31" s="211" t="s">
        <v>166</v>
      </c>
      <c r="D31" s="211" t="s">
        <v>773</v>
      </c>
      <c r="E31" s="212">
        <v>3</v>
      </c>
      <c r="F31" s="213" t="s">
        <v>782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2" tint="-0.249977111117893"/>
    <pageSetUpPr fitToPage="1"/>
  </sheetPr>
  <dimension ref="A2:F45"/>
  <sheetViews>
    <sheetView showGridLines="0" view="pageLayout" zoomScaleNormal="90" workbookViewId="0">
      <selection activeCell="B20" sqref="B20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1:6" ht="23.25" customHeight="1" x14ac:dyDescent="0.45">
      <c r="B2" s="242" t="s">
        <v>783</v>
      </c>
      <c r="C2" s="242"/>
      <c r="D2" s="242"/>
      <c r="E2" s="242"/>
      <c r="F2" s="242"/>
    </row>
    <row r="3" spans="1:6" x14ac:dyDescent="0.3">
      <c r="B3" s="14"/>
      <c r="C3" s="197"/>
      <c r="D3" s="14"/>
      <c r="E3" s="14"/>
      <c r="F3" s="14"/>
    </row>
    <row r="4" spans="1:6" ht="16.5" customHeight="1" x14ac:dyDescent="0.35">
      <c r="B4" s="34" t="s">
        <v>784</v>
      </c>
      <c r="C4" s="22">
        <f>D18</f>
        <v>25</v>
      </c>
    </row>
    <row r="5" spans="1:6" x14ac:dyDescent="0.3">
      <c r="B5" s="118" t="s">
        <v>288</v>
      </c>
    </row>
    <row r="6" spans="1:6" x14ac:dyDescent="0.3">
      <c r="B6" s="3"/>
      <c r="C6" s="3"/>
    </row>
    <row r="7" spans="1:6" x14ac:dyDescent="0.3">
      <c r="A7" s="80"/>
      <c r="B7" s="119" t="s">
        <v>289</v>
      </c>
      <c r="C7" s="57">
        <f>D15</f>
        <v>7</v>
      </c>
      <c r="D7" s="120"/>
      <c r="E7" s="71"/>
    </row>
    <row r="8" spans="1:6" ht="12.9" customHeight="1" x14ac:dyDescent="0.3">
      <c r="A8" s="80"/>
      <c r="B8" s="224" t="s">
        <v>147</v>
      </c>
      <c r="C8" s="46">
        <f>D18-C7</f>
        <v>18</v>
      </c>
      <c r="D8" s="3"/>
      <c r="E8" s="58"/>
    </row>
    <row r="9" spans="1:6" x14ac:dyDescent="0.3">
      <c r="B9" s="79"/>
      <c r="C9" s="79"/>
      <c r="D9" s="79"/>
    </row>
    <row r="10" spans="1:6" x14ac:dyDescent="0.3">
      <c r="A10" s="80"/>
      <c r="B10" s="121" t="s">
        <v>197</v>
      </c>
      <c r="C10" s="121" t="s">
        <v>215</v>
      </c>
      <c r="D10" s="121" t="s">
        <v>290</v>
      </c>
      <c r="E10" s="52"/>
    </row>
    <row r="11" spans="1:6" x14ac:dyDescent="0.3">
      <c r="A11" s="80"/>
      <c r="B11" s="108">
        <v>1</v>
      </c>
      <c r="C11" s="108" t="s">
        <v>786</v>
      </c>
      <c r="D11" s="122">
        <v>3</v>
      </c>
      <c r="E11" s="52"/>
    </row>
    <row r="12" spans="1:6" x14ac:dyDescent="0.3">
      <c r="A12" s="80"/>
      <c r="B12" s="108">
        <v>2</v>
      </c>
      <c r="C12" s="108" t="s">
        <v>787</v>
      </c>
      <c r="D12" s="122">
        <v>3</v>
      </c>
      <c r="E12" s="52"/>
    </row>
    <row r="13" spans="1:6" x14ac:dyDescent="0.3">
      <c r="A13" s="80"/>
      <c r="B13" s="108">
        <v>3</v>
      </c>
      <c r="C13" s="108" t="s">
        <v>788</v>
      </c>
      <c r="D13" s="122">
        <v>3</v>
      </c>
      <c r="E13" s="52"/>
    </row>
    <row r="14" spans="1:6" x14ac:dyDescent="0.3">
      <c r="A14" s="80"/>
      <c r="B14" s="108">
        <v>4</v>
      </c>
      <c r="C14" s="108" t="s">
        <v>789</v>
      </c>
      <c r="D14" s="122">
        <v>3</v>
      </c>
      <c r="E14" s="52"/>
    </row>
    <row r="15" spans="1:6" x14ac:dyDescent="0.3">
      <c r="A15" s="80"/>
      <c r="B15" s="108">
        <v>5</v>
      </c>
      <c r="C15" s="108" t="s">
        <v>785</v>
      </c>
      <c r="D15" s="122">
        <v>7</v>
      </c>
      <c r="E15" s="52"/>
    </row>
    <row r="16" spans="1:6" x14ac:dyDescent="0.3">
      <c r="A16" s="80"/>
      <c r="B16" s="108">
        <v>6</v>
      </c>
      <c r="C16" s="108" t="s">
        <v>790</v>
      </c>
      <c r="D16" s="122">
        <v>3</v>
      </c>
      <c r="E16" s="52"/>
    </row>
    <row r="17" spans="1:6" x14ac:dyDescent="0.3">
      <c r="A17" s="80"/>
      <c r="B17" s="108">
        <v>7</v>
      </c>
      <c r="C17" s="108" t="s">
        <v>791</v>
      </c>
      <c r="D17" s="122">
        <v>3</v>
      </c>
      <c r="E17" s="52"/>
    </row>
    <row r="18" spans="1:6" x14ac:dyDescent="0.3">
      <c r="B18" s="123"/>
      <c r="C18" s="124" t="s">
        <v>150</v>
      </c>
      <c r="D18" s="88">
        <f>SUM(D11:D17)</f>
        <v>25</v>
      </c>
    </row>
    <row r="19" spans="1:6" x14ac:dyDescent="0.3">
      <c r="C19" s="125"/>
      <c r="D19" s="125"/>
      <c r="E19" s="79"/>
      <c r="F19" s="79"/>
    </row>
    <row r="20" spans="1:6" x14ac:dyDescent="0.3">
      <c r="A20" s="80"/>
      <c r="B20" s="121" t="s">
        <v>197</v>
      </c>
      <c r="C20" s="121" t="s">
        <v>151</v>
      </c>
      <c r="D20" s="121" t="s">
        <v>215</v>
      </c>
      <c r="E20" s="121" t="s">
        <v>216</v>
      </c>
      <c r="F20" s="121" t="s">
        <v>217</v>
      </c>
    </row>
    <row r="21" spans="1:6" x14ac:dyDescent="0.3">
      <c r="A21" s="80"/>
      <c r="B21" s="20">
        <v>1</v>
      </c>
      <c r="C21" s="17" t="s">
        <v>167</v>
      </c>
      <c r="D21" s="17" t="s">
        <v>786</v>
      </c>
      <c r="E21" s="17">
        <v>1</v>
      </c>
      <c r="F21" s="17" t="s">
        <v>792</v>
      </c>
    </row>
    <row r="22" spans="1:6" x14ac:dyDescent="0.3">
      <c r="A22" s="80"/>
      <c r="B22" s="20">
        <v>2</v>
      </c>
      <c r="C22" s="17" t="s">
        <v>167</v>
      </c>
      <c r="D22" s="17" t="s">
        <v>786</v>
      </c>
      <c r="E22" s="17">
        <v>2</v>
      </c>
      <c r="F22" s="17" t="s">
        <v>793</v>
      </c>
    </row>
    <row r="23" spans="1:6" x14ac:dyDescent="0.3">
      <c r="A23" s="80"/>
      <c r="B23" s="20">
        <v>3</v>
      </c>
      <c r="C23" s="17" t="s">
        <v>167</v>
      </c>
      <c r="D23" s="17" t="s">
        <v>786</v>
      </c>
      <c r="E23" s="17">
        <v>3</v>
      </c>
      <c r="F23" s="17" t="s">
        <v>794</v>
      </c>
    </row>
    <row r="24" spans="1:6" x14ac:dyDescent="0.3">
      <c r="A24" s="80"/>
      <c r="B24" s="20">
        <v>4</v>
      </c>
      <c r="C24" s="17" t="s">
        <v>167</v>
      </c>
      <c r="D24" s="17" t="s">
        <v>787</v>
      </c>
      <c r="E24" s="17">
        <v>1</v>
      </c>
      <c r="F24" s="17" t="s">
        <v>795</v>
      </c>
    </row>
    <row r="25" spans="1:6" x14ac:dyDescent="0.3">
      <c r="A25" s="80"/>
      <c r="B25" s="20">
        <v>5</v>
      </c>
      <c r="C25" s="17" t="s">
        <v>167</v>
      </c>
      <c r="D25" s="17" t="s">
        <v>787</v>
      </c>
      <c r="E25" s="17">
        <v>2</v>
      </c>
      <c r="F25" s="17" t="s">
        <v>796</v>
      </c>
    </row>
    <row r="26" spans="1:6" x14ac:dyDescent="0.3">
      <c r="A26" s="80"/>
      <c r="B26" s="20">
        <v>6</v>
      </c>
      <c r="C26" s="17" t="s">
        <v>167</v>
      </c>
      <c r="D26" s="17" t="s">
        <v>787</v>
      </c>
      <c r="E26" s="17">
        <v>3</v>
      </c>
      <c r="F26" s="17" t="s">
        <v>797</v>
      </c>
    </row>
    <row r="27" spans="1:6" x14ac:dyDescent="0.3">
      <c r="A27" s="80"/>
      <c r="B27" s="20">
        <v>7</v>
      </c>
      <c r="C27" s="17" t="s">
        <v>167</v>
      </c>
      <c r="D27" s="17" t="s">
        <v>788</v>
      </c>
      <c r="E27" s="17">
        <v>1</v>
      </c>
      <c r="F27" s="17" t="s">
        <v>798</v>
      </c>
    </row>
    <row r="28" spans="1:6" x14ac:dyDescent="0.3">
      <c r="A28" s="80"/>
      <c r="B28" s="20">
        <v>8</v>
      </c>
      <c r="C28" s="17" t="s">
        <v>167</v>
      </c>
      <c r="D28" s="17" t="s">
        <v>788</v>
      </c>
      <c r="E28" s="17">
        <v>2</v>
      </c>
      <c r="F28" s="17" t="s">
        <v>799</v>
      </c>
    </row>
    <row r="29" spans="1:6" x14ac:dyDescent="0.3">
      <c r="A29" s="80"/>
      <c r="B29" s="20">
        <v>9</v>
      </c>
      <c r="C29" s="17" t="s">
        <v>167</v>
      </c>
      <c r="D29" s="17" t="s">
        <v>788</v>
      </c>
      <c r="E29" s="17">
        <v>3</v>
      </c>
      <c r="F29" s="17" t="s">
        <v>800</v>
      </c>
    </row>
    <row r="30" spans="1:6" x14ac:dyDescent="0.3">
      <c r="A30" s="80"/>
      <c r="B30" s="20">
        <v>10</v>
      </c>
      <c r="C30" s="17" t="s">
        <v>167</v>
      </c>
      <c r="D30" s="17" t="s">
        <v>789</v>
      </c>
      <c r="E30" s="17">
        <v>1</v>
      </c>
      <c r="F30" s="17" t="s">
        <v>801</v>
      </c>
    </row>
    <row r="31" spans="1:6" x14ac:dyDescent="0.3">
      <c r="A31" s="80"/>
      <c r="B31" s="20">
        <v>11</v>
      </c>
      <c r="C31" s="17" t="s">
        <v>167</v>
      </c>
      <c r="D31" s="17" t="s">
        <v>789</v>
      </c>
      <c r="E31" s="17">
        <v>2</v>
      </c>
      <c r="F31" s="17" t="s">
        <v>802</v>
      </c>
    </row>
    <row r="32" spans="1:6" x14ac:dyDescent="0.3">
      <c r="A32" s="80"/>
      <c r="B32" s="20">
        <v>12</v>
      </c>
      <c r="C32" s="17" t="s">
        <v>167</v>
      </c>
      <c r="D32" s="17" t="s">
        <v>789</v>
      </c>
      <c r="E32" s="17">
        <v>3</v>
      </c>
      <c r="F32" s="17" t="s">
        <v>803</v>
      </c>
    </row>
    <row r="33" spans="1:6" x14ac:dyDescent="0.3">
      <c r="A33" s="80"/>
      <c r="B33" s="20">
        <v>13</v>
      </c>
      <c r="C33" s="17" t="s">
        <v>167</v>
      </c>
      <c r="D33" s="17" t="s">
        <v>785</v>
      </c>
      <c r="E33" s="17">
        <v>1</v>
      </c>
      <c r="F33" s="17" t="s">
        <v>804</v>
      </c>
    </row>
    <row r="34" spans="1:6" x14ac:dyDescent="0.3">
      <c r="A34" s="80"/>
      <c r="B34" s="20">
        <v>14</v>
      </c>
      <c r="C34" s="17" t="s">
        <v>167</v>
      </c>
      <c r="D34" s="17" t="s">
        <v>785</v>
      </c>
      <c r="E34" s="17">
        <v>2</v>
      </c>
      <c r="F34" s="17" t="s">
        <v>805</v>
      </c>
    </row>
    <row r="35" spans="1:6" x14ac:dyDescent="0.3">
      <c r="A35" s="80"/>
      <c r="B35" s="20">
        <v>15</v>
      </c>
      <c r="C35" s="17" t="s">
        <v>167</v>
      </c>
      <c r="D35" s="17" t="s">
        <v>785</v>
      </c>
      <c r="E35" s="17">
        <v>3</v>
      </c>
      <c r="F35" s="17" t="s">
        <v>806</v>
      </c>
    </row>
    <row r="36" spans="1:6" x14ac:dyDescent="0.3">
      <c r="A36" s="80"/>
      <c r="B36" s="20">
        <v>16</v>
      </c>
      <c r="C36" s="17" t="s">
        <v>167</v>
      </c>
      <c r="D36" s="17" t="s">
        <v>785</v>
      </c>
      <c r="E36" s="17">
        <v>4</v>
      </c>
      <c r="F36" s="17" t="s">
        <v>807</v>
      </c>
    </row>
    <row r="37" spans="1:6" x14ac:dyDescent="0.3">
      <c r="A37" s="80"/>
      <c r="B37" s="126">
        <v>17</v>
      </c>
      <c r="C37" s="8" t="s">
        <v>167</v>
      </c>
      <c r="D37" s="8" t="s">
        <v>785</v>
      </c>
      <c r="E37" s="8">
        <v>5</v>
      </c>
      <c r="F37" s="8" t="s">
        <v>808</v>
      </c>
    </row>
    <row r="38" spans="1:6" x14ac:dyDescent="0.3">
      <c r="B38" s="17">
        <v>18</v>
      </c>
      <c r="C38" s="17" t="s">
        <v>167</v>
      </c>
      <c r="D38" s="17" t="s">
        <v>785</v>
      </c>
      <c r="E38" s="17">
        <v>6</v>
      </c>
      <c r="F38" s="17" t="s">
        <v>809</v>
      </c>
    </row>
    <row r="39" spans="1:6" x14ac:dyDescent="0.3">
      <c r="B39" s="17">
        <v>19</v>
      </c>
      <c r="C39" s="17" t="s">
        <v>167</v>
      </c>
      <c r="D39" s="17" t="s">
        <v>785</v>
      </c>
      <c r="E39" s="17">
        <v>7</v>
      </c>
      <c r="F39" s="17" t="s">
        <v>810</v>
      </c>
    </row>
    <row r="40" spans="1:6" x14ac:dyDescent="0.3">
      <c r="A40" s="80"/>
      <c r="B40" s="127">
        <v>20</v>
      </c>
      <c r="C40" s="128" t="s">
        <v>167</v>
      </c>
      <c r="D40" s="128" t="s">
        <v>790</v>
      </c>
      <c r="E40" s="128">
        <v>1</v>
      </c>
      <c r="F40" s="128" t="s">
        <v>811</v>
      </c>
    </row>
    <row r="41" spans="1:6" x14ac:dyDescent="0.3">
      <c r="A41" s="80"/>
      <c r="B41" s="20">
        <v>21</v>
      </c>
      <c r="C41" s="17" t="s">
        <v>167</v>
      </c>
      <c r="D41" s="17" t="s">
        <v>790</v>
      </c>
      <c r="E41" s="17">
        <v>2</v>
      </c>
      <c r="F41" s="17" t="s">
        <v>812</v>
      </c>
    </row>
    <row r="42" spans="1:6" x14ac:dyDescent="0.3">
      <c r="A42" s="80"/>
      <c r="B42" s="20">
        <v>22</v>
      </c>
      <c r="C42" s="17" t="s">
        <v>167</v>
      </c>
      <c r="D42" s="17" t="s">
        <v>790</v>
      </c>
      <c r="E42" s="17">
        <v>3</v>
      </c>
      <c r="F42" s="17" t="s">
        <v>813</v>
      </c>
    </row>
    <row r="43" spans="1:6" x14ac:dyDescent="0.3">
      <c r="A43" s="80"/>
      <c r="B43" s="20">
        <v>23</v>
      </c>
      <c r="C43" s="17" t="s">
        <v>167</v>
      </c>
      <c r="D43" s="17" t="s">
        <v>791</v>
      </c>
      <c r="E43" s="17">
        <v>1</v>
      </c>
      <c r="F43" s="17" t="s">
        <v>814</v>
      </c>
    </row>
    <row r="44" spans="1:6" x14ac:dyDescent="0.3">
      <c r="A44" s="80"/>
      <c r="B44" s="20">
        <v>24</v>
      </c>
      <c r="C44" s="17" t="s">
        <v>167</v>
      </c>
      <c r="D44" s="17" t="s">
        <v>791</v>
      </c>
      <c r="E44" s="17">
        <v>2</v>
      </c>
      <c r="F44" s="17" t="s">
        <v>815</v>
      </c>
    </row>
    <row r="45" spans="1:6" x14ac:dyDescent="0.3">
      <c r="A45" s="80"/>
      <c r="B45" s="20">
        <v>25</v>
      </c>
      <c r="C45" s="17" t="s">
        <v>167</v>
      </c>
      <c r="D45" s="17" t="s">
        <v>791</v>
      </c>
      <c r="E45" s="17">
        <v>3</v>
      </c>
      <c r="F45" s="17" t="s">
        <v>816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2" tint="-0.249977111117893"/>
    <pageSetUpPr fitToPage="1"/>
  </sheetPr>
  <dimension ref="B2:F90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817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818</v>
      </c>
      <c r="C4" s="22">
        <v>55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10</v>
      </c>
    </row>
    <row r="8" spans="2:6" x14ac:dyDescent="0.3">
      <c r="B8" s="36" t="s">
        <v>147</v>
      </c>
      <c r="C8" s="37">
        <v>45</v>
      </c>
      <c r="E8" s="38" t="s">
        <v>819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820</v>
      </c>
      <c r="D11" s="40">
        <v>3</v>
      </c>
    </row>
    <row r="12" spans="2:6" x14ac:dyDescent="0.3">
      <c r="B12" s="39">
        <v>2</v>
      </c>
      <c r="C12" s="39" t="s">
        <v>821</v>
      </c>
      <c r="D12" s="40">
        <v>3</v>
      </c>
    </row>
    <row r="13" spans="2:6" x14ac:dyDescent="0.3">
      <c r="B13" s="39">
        <v>3</v>
      </c>
      <c r="C13" s="39" t="s">
        <v>822</v>
      </c>
      <c r="D13" s="40">
        <v>3</v>
      </c>
    </row>
    <row r="14" spans="2:6" x14ac:dyDescent="0.3">
      <c r="B14" s="39">
        <v>4</v>
      </c>
      <c r="C14" s="39" t="s">
        <v>823</v>
      </c>
      <c r="D14" s="40">
        <v>5</v>
      </c>
    </row>
    <row r="15" spans="2:6" x14ac:dyDescent="0.3">
      <c r="B15" s="39">
        <v>5</v>
      </c>
      <c r="C15" s="39" t="s">
        <v>824</v>
      </c>
      <c r="D15" s="40">
        <v>3</v>
      </c>
    </row>
    <row r="16" spans="2:6" x14ac:dyDescent="0.3">
      <c r="B16" s="39">
        <v>6</v>
      </c>
      <c r="C16" s="39" t="s">
        <v>825</v>
      </c>
      <c r="D16" s="40">
        <v>5</v>
      </c>
    </row>
    <row r="17" spans="2:4" x14ac:dyDescent="0.3">
      <c r="B17" s="39">
        <v>7</v>
      </c>
      <c r="C17" s="39" t="s">
        <v>826</v>
      </c>
      <c r="D17" s="40">
        <v>3</v>
      </c>
    </row>
    <row r="18" spans="2:4" x14ac:dyDescent="0.3">
      <c r="B18" s="39">
        <v>8</v>
      </c>
      <c r="C18" s="39" t="s">
        <v>827</v>
      </c>
      <c r="D18" s="40">
        <v>3</v>
      </c>
    </row>
    <row r="19" spans="2:4" x14ac:dyDescent="0.3">
      <c r="B19" s="39">
        <v>9</v>
      </c>
      <c r="C19" s="39" t="s">
        <v>828</v>
      </c>
      <c r="D19" s="40">
        <v>3</v>
      </c>
    </row>
    <row r="20" spans="2:4" x14ac:dyDescent="0.3">
      <c r="B20" s="39">
        <v>10</v>
      </c>
      <c r="C20" s="39" t="s">
        <v>829</v>
      </c>
      <c r="D20" s="40">
        <v>3</v>
      </c>
    </row>
    <row r="21" spans="2:4" x14ac:dyDescent="0.3">
      <c r="B21" s="39">
        <v>11</v>
      </c>
      <c r="C21" s="39" t="s">
        <v>830</v>
      </c>
      <c r="D21" s="40">
        <v>3</v>
      </c>
    </row>
    <row r="22" spans="2:4" x14ac:dyDescent="0.3">
      <c r="B22" s="39">
        <v>12</v>
      </c>
      <c r="C22" s="39" t="s">
        <v>831</v>
      </c>
      <c r="D22" s="40">
        <v>3</v>
      </c>
    </row>
    <row r="23" spans="2:4" x14ac:dyDescent="0.3">
      <c r="B23" s="39">
        <v>13</v>
      </c>
      <c r="C23" s="39" t="s">
        <v>832</v>
      </c>
      <c r="D23" s="40">
        <v>3</v>
      </c>
    </row>
    <row r="24" spans="2:4" x14ac:dyDescent="0.3">
      <c r="B24" s="39">
        <v>14</v>
      </c>
      <c r="C24" s="39" t="s">
        <v>833</v>
      </c>
      <c r="D24" s="40">
        <v>3</v>
      </c>
    </row>
    <row r="25" spans="2:4" x14ac:dyDescent="0.3">
      <c r="B25" s="39">
        <v>15</v>
      </c>
      <c r="C25" s="39" t="s">
        <v>834</v>
      </c>
      <c r="D25" s="40">
        <v>3</v>
      </c>
    </row>
    <row r="26" spans="2:4" x14ac:dyDescent="0.3">
      <c r="B26" s="39">
        <v>16</v>
      </c>
      <c r="C26" s="39" t="s">
        <v>835</v>
      </c>
      <c r="D26" s="40">
        <v>3</v>
      </c>
    </row>
    <row r="27" spans="2:4" x14ac:dyDescent="0.3">
      <c r="B27" s="39">
        <v>17</v>
      </c>
      <c r="C27" s="39" t="s">
        <v>836</v>
      </c>
      <c r="D27" s="40">
        <v>3</v>
      </c>
    </row>
    <row r="28" spans="2:4" x14ac:dyDescent="0.3">
      <c r="B28" s="129">
        <v>18</v>
      </c>
      <c r="C28" s="129" t="s">
        <v>150</v>
      </c>
      <c r="D28" s="130">
        <f>SUM(D11:D27)</f>
        <v>55</v>
      </c>
    </row>
    <row r="35" spans="2:6" x14ac:dyDescent="0.3">
      <c r="B35" s="7" t="s">
        <v>197</v>
      </c>
      <c r="C35" s="7" t="s">
        <v>151</v>
      </c>
      <c r="D35" s="7" t="s">
        <v>215</v>
      </c>
      <c r="E35" s="7" t="s">
        <v>216</v>
      </c>
      <c r="F35" s="7" t="s">
        <v>217</v>
      </c>
    </row>
    <row r="36" spans="2:6" x14ac:dyDescent="0.3">
      <c r="B36" s="41">
        <v>1</v>
      </c>
      <c r="C36" s="41" t="s">
        <v>168</v>
      </c>
      <c r="D36" s="41" t="s">
        <v>820</v>
      </c>
      <c r="E36" s="41">
        <v>1</v>
      </c>
      <c r="F36" s="41" t="s">
        <v>837</v>
      </c>
    </row>
    <row r="37" spans="2:6" x14ac:dyDescent="0.3">
      <c r="B37" s="41">
        <v>2</v>
      </c>
      <c r="C37" s="41" t="s">
        <v>168</v>
      </c>
      <c r="D37" s="41" t="s">
        <v>820</v>
      </c>
      <c r="E37" s="41">
        <v>2</v>
      </c>
      <c r="F37" s="41" t="s">
        <v>838</v>
      </c>
    </row>
    <row r="38" spans="2:6" x14ac:dyDescent="0.3">
      <c r="B38" s="41">
        <v>3</v>
      </c>
      <c r="C38" s="41" t="s">
        <v>168</v>
      </c>
      <c r="D38" s="41" t="s">
        <v>820</v>
      </c>
      <c r="E38" s="41">
        <v>3</v>
      </c>
      <c r="F38" s="41" t="s">
        <v>839</v>
      </c>
    </row>
    <row r="39" spans="2:6" x14ac:dyDescent="0.3">
      <c r="B39" s="41">
        <v>4</v>
      </c>
      <c r="C39" s="41" t="s">
        <v>168</v>
      </c>
      <c r="D39" s="41" t="s">
        <v>821</v>
      </c>
      <c r="E39" s="41">
        <v>1</v>
      </c>
      <c r="F39" s="41" t="s">
        <v>840</v>
      </c>
    </row>
    <row r="40" spans="2:6" x14ac:dyDescent="0.3">
      <c r="B40" s="41">
        <v>5</v>
      </c>
      <c r="C40" s="41" t="s">
        <v>168</v>
      </c>
      <c r="D40" s="41" t="s">
        <v>821</v>
      </c>
      <c r="E40" s="41">
        <v>2</v>
      </c>
      <c r="F40" s="41" t="s">
        <v>841</v>
      </c>
    </row>
    <row r="41" spans="2:6" x14ac:dyDescent="0.3">
      <c r="B41" s="41">
        <v>6</v>
      </c>
      <c r="C41" s="41" t="s">
        <v>168</v>
      </c>
      <c r="D41" s="41" t="s">
        <v>821</v>
      </c>
      <c r="E41" s="41">
        <v>3</v>
      </c>
      <c r="F41" s="41" t="s">
        <v>842</v>
      </c>
    </row>
    <row r="42" spans="2:6" x14ac:dyDescent="0.3">
      <c r="B42" s="41">
        <v>7</v>
      </c>
      <c r="C42" s="41" t="s">
        <v>168</v>
      </c>
      <c r="D42" s="41" t="s">
        <v>822</v>
      </c>
      <c r="E42" s="41">
        <v>1</v>
      </c>
      <c r="F42" s="41" t="s">
        <v>843</v>
      </c>
    </row>
    <row r="43" spans="2:6" x14ac:dyDescent="0.3">
      <c r="B43" s="41">
        <v>8</v>
      </c>
      <c r="C43" s="41" t="s">
        <v>168</v>
      </c>
      <c r="D43" s="41" t="s">
        <v>822</v>
      </c>
      <c r="E43" s="41">
        <v>2</v>
      </c>
      <c r="F43" s="41" t="s">
        <v>844</v>
      </c>
    </row>
    <row r="44" spans="2:6" x14ac:dyDescent="0.3">
      <c r="B44" s="41">
        <v>9</v>
      </c>
      <c r="C44" s="41" t="s">
        <v>168</v>
      </c>
      <c r="D44" s="41" t="s">
        <v>822</v>
      </c>
      <c r="E44" s="41">
        <v>3</v>
      </c>
      <c r="F44" s="41" t="s">
        <v>845</v>
      </c>
    </row>
    <row r="45" spans="2:6" x14ac:dyDescent="0.3">
      <c r="B45" s="41">
        <v>10</v>
      </c>
      <c r="C45" s="41" t="s">
        <v>168</v>
      </c>
      <c r="D45" s="41" t="s">
        <v>823</v>
      </c>
      <c r="E45" s="41">
        <v>1</v>
      </c>
      <c r="F45" s="41" t="s">
        <v>846</v>
      </c>
    </row>
    <row r="46" spans="2:6" x14ac:dyDescent="0.3">
      <c r="B46" s="41">
        <v>11</v>
      </c>
      <c r="C46" s="41" t="s">
        <v>168</v>
      </c>
      <c r="D46" s="41" t="s">
        <v>823</v>
      </c>
      <c r="E46" s="41">
        <v>2</v>
      </c>
      <c r="F46" s="41" t="s">
        <v>847</v>
      </c>
    </row>
    <row r="47" spans="2:6" x14ac:dyDescent="0.3">
      <c r="B47" s="41">
        <v>12</v>
      </c>
      <c r="C47" s="41" t="s">
        <v>168</v>
      </c>
      <c r="D47" s="41" t="s">
        <v>823</v>
      </c>
      <c r="E47" s="41">
        <v>3</v>
      </c>
      <c r="F47" s="41" t="s">
        <v>848</v>
      </c>
    </row>
    <row r="48" spans="2:6" x14ac:dyDescent="0.3">
      <c r="B48" s="41">
        <v>13</v>
      </c>
      <c r="C48" s="41" t="s">
        <v>168</v>
      </c>
      <c r="D48" s="41" t="s">
        <v>823</v>
      </c>
      <c r="E48" s="41">
        <v>4</v>
      </c>
      <c r="F48" s="41" t="s">
        <v>849</v>
      </c>
    </row>
    <row r="49" spans="2:6" x14ac:dyDescent="0.3">
      <c r="B49" s="41">
        <v>14</v>
      </c>
      <c r="C49" s="41" t="s">
        <v>168</v>
      </c>
      <c r="D49" s="41" t="s">
        <v>823</v>
      </c>
      <c r="E49" s="41">
        <v>5</v>
      </c>
      <c r="F49" s="41" t="s">
        <v>850</v>
      </c>
    </row>
    <row r="50" spans="2:6" x14ac:dyDescent="0.3">
      <c r="B50" s="41">
        <v>15</v>
      </c>
      <c r="C50" s="41" t="s">
        <v>168</v>
      </c>
      <c r="D50" s="41" t="s">
        <v>824</v>
      </c>
      <c r="E50" s="41">
        <v>1</v>
      </c>
      <c r="F50" s="41" t="s">
        <v>851</v>
      </c>
    </row>
    <row r="51" spans="2:6" x14ac:dyDescent="0.3">
      <c r="B51" s="41">
        <v>16</v>
      </c>
      <c r="C51" s="41" t="s">
        <v>168</v>
      </c>
      <c r="D51" s="41" t="s">
        <v>824</v>
      </c>
      <c r="E51" s="41">
        <v>2</v>
      </c>
      <c r="F51" s="41" t="s">
        <v>852</v>
      </c>
    </row>
    <row r="52" spans="2:6" x14ac:dyDescent="0.3">
      <c r="B52" s="41">
        <v>17</v>
      </c>
      <c r="C52" s="41" t="s">
        <v>168</v>
      </c>
      <c r="D52" s="41" t="s">
        <v>824</v>
      </c>
      <c r="E52" s="41">
        <v>3</v>
      </c>
      <c r="F52" s="41" t="s">
        <v>853</v>
      </c>
    </row>
    <row r="53" spans="2:6" x14ac:dyDescent="0.3">
      <c r="B53" s="41">
        <v>18</v>
      </c>
      <c r="C53" s="41" t="s">
        <v>168</v>
      </c>
      <c r="D53" s="41" t="s">
        <v>825</v>
      </c>
      <c r="E53" s="41">
        <v>1</v>
      </c>
      <c r="F53" s="41" t="s">
        <v>854</v>
      </c>
    </row>
    <row r="54" spans="2:6" x14ac:dyDescent="0.3">
      <c r="B54" s="41">
        <v>19</v>
      </c>
      <c r="C54" s="41" t="s">
        <v>168</v>
      </c>
      <c r="D54" s="41" t="s">
        <v>825</v>
      </c>
      <c r="E54" s="41">
        <v>2</v>
      </c>
      <c r="F54" s="41" t="s">
        <v>855</v>
      </c>
    </row>
    <row r="55" spans="2:6" x14ac:dyDescent="0.3">
      <c r="B55" s="41">
        <v>20</v>
      </c>
      <c r="C55" s="41" t="s">
        <v>168</v>
      </c>
      <c r="D55" s="41" t="s">
        <v>825</v>
      </c>
      <c r="E55" s="41">
        <v>3</v>
      </c>
      <c r="F55" s="41" t="s">
        <v>856</v>
      </c>
    </row>
    <row r="56" spans="2:6" x14ac:dyDescent="0.3">
      <c r="B56" s="41">
        <v>21</v>
      </c>
      <c r="C56" s="41" t="s">
        <v>168</v>
      </c>
      <c r="D56" s="41" t="s">
        <v>825</v>
      </c>
      <c r="E56" s="41">
        <v>4</v>
      </c>
      <c r="F56" s="41" t="s">
        <v>857</v>
      </c>
    </row>
    <row r="57" spans="2:6" x14ac:dyDescent="0.3">
      <c r="B57" s="41">
        <v>22</v>
      </c>
      <c r="C57" s="41" t="s">
        <v>168</v>
      </c>
      <c r="D57" s="41" t="s">
        <v>825</v>
      </c>
      <c r="E57" s="41">
        <v>5</v>
      </c>
      <c r="F57" s="41" t="s">
        <v>858</v>
      </c>
    </row>
    <row r="58" spans="2:6" x14ac:dyDescent="0.3">
      <c r="B58" s="41">
        <v>23</v>
      </c>
      <c r="C58" s="41" t="s">
        <v>168</v>
      </c>
      <c r="D58" s="41" t="s">
        <v>826</v>
      </c>
      <c r="E58" s="41">
        <v>1</v>
      </c>
      <c r="F58" s="41" t="s">
        <v>859</v>
      </c>
    </row>
    <row r="59" spans="2:6" x14ac:dyDescent="0.3">
      <c r="B59" s="41">
        <v>24</v>
      </c>
      <c r="C59" s="41" t="s">
        <v>168</v>
      </c>
      <c r="D59" s="41" t="s">
        <v>826</v>
      </c>
      <c r="E59" s="41">
        <v>2</v>
      </c>
      <c r="F59" s="41" t="s">
        <v>860</v>
      </c>
    </row>
    <row r="60" spans="2:6" x14ac:dyDescent="0.3">
      <c r="B60" s="41">
        <v>25</v>
      </c>
      <c r="C60" s="41" t="s">
        <v>168</v>
      </c>
      <c r="D60" s="41" t="s">
        <v>826</v>
      </c>
      <c r="E60" s="41">
        <v>3</v>
      </c>
      <c r="F60" s="41" t="s">
        <v>861</v>
      </c>
    </row>
    <row r="61" spans="2:6" x14ac:dyDescent="0.3">
      <c r="B61" s="41">
        <v>26</v>
      </c>
      <c r="C61" s="41" t="s">
        <v>168</v>
      </c>
      <c r="D61" s="41" t="s">
        <v>827</v>
      </c>
      <c r="E61" s="41">
        <v>1</v>
      </c>
      <c r="F61" s="41" t="s">
        <v>862</v>
      </c>
    </row>
    <row r="62" spans="2:6" x14ac:dyDescent="0.3">
      <c r="B62" s="41">
        <v>27</v>
      </c>
      <c r="C62" s="41" t="s">
        <v>168</v>
      </c>
      <c r="D62" s="41" t="s">
        <v>827</v>
      </c>
      <c r="E62" s="41">
        <v>2</v>
      </c>
      <c r="F62" s="41" t="s">
        <v>863</v>
      </c>
    </row>
    <row r="63" spans="2:6" x14ac:dyDescent="0.3">
      <c r="B63" s="41">
        <v>28</v>
      </c>
      <c r="C63" s="41" t="s">
        <v>168</v>
      </c>
      <c r="D63" s="41" t="s">
        <v>827</v>
      </c>
      <c r="E63" s="41">
        <v>3</v>
      </c>
      <c r="F63" s="41" t="s">
        <v>864</v>
      </c>
    </row>
    <row r="64" spans="2:6" x14ac:dyDescent="0.3">
      <c r="B64" s="41">
        <v>29</v>
      </c>
      <c r="C64" s="41" t="s">
        <v>168</v>
      </c>
      <c r="D64" s="41" t="s">
        <v>828</v>
      </c>
      <c r="E64" s="41">
        <v>1</v>
      </c>
      <c r="F64" s="41" t="s">
        <v>865</v>
      </c>
    </row>
    <row r="65" spans="2:6" x14ac:dyDescent="0.3">
      <c r="B65" s="41">
        <v>30</v>
      </c>
      <c r="C65" s="41" t="s">
        <v>168</v>
      </c>
      <c r="D65" s="41" t="s">
        <v>828</v>
      </c>
      <c r="E65" s="41">
        <v>2</v>
      </c>
      <c r="F65" s="41" t="s">
        <v>866</v>
      </c>
    </row>
    <row r="66" spans="2:6" x14ac:dyDescent="0.3">
      <c r="B66" s="41">
        <v>31</v>
      </c>
      <c r="C66" s="41" t="s">
        <v>168</v>
      </c>
      <c r="D66" s="41" t="s">
        <v>828</v>
      </c>
      <c r="E66" s="41">
        <v>3</v>
      </c>
      <c r="F66" s="41" t="s">
        <v>867</v>
      </c>
    </row>
    <row r="67" spans="2:6" x14ac:dyDescent="0.3">
      <c r="B67" s="41">
        <v>32</v>
      </c>
      <c r="C67" s="41" t="s">
        <v>168</v>
      </c>
      <c r="D67" s="41" t="s">
        <v>829</v>
      </c>
      <c r="E67" s="41">
        <v>1</v>
      </c>
      <c r="F67" s="41" t="s">
        <v>868</v>
      </c>
    </row>
    <row r="68" spans="2:6" x14ac:dyDescent="0.3">
      <c r="B68" s="41">
        <v>33</v>
      </c>
      <c r="C68" s="41" t="s">
        <v>168</v>
      </c>
      <c r="D68" s="41" t="s">
        <v>829</v>
      </c>
      <c r="E68" s="41">
        <v>2</v>
      </c>
      <c r="F68" s="41" t="s">
        <v>869</v>
      </c>
    </row>
    <row r="69" spans="2:6" x14ac:dyDescent="0.3">
      <c r="B69" s="41">
        <v>34</v>
      </c>
      <c r="C69" s="41" t="s">
        <v>168</v>
      </c>
      <c r="D69" s="41" t="s">
        <v>829</v>
      </c>
      <c r="E69" s="41">
        <v>3</v>
      </c>
      <c r="F69" s="41" t="s">
        <v>870</v>
      </c>
    </row>
    <row r="70" spans="2:6" x14ac:dyDescent="0.3">
      <c r="B70" s="41">
        <v>35</v>
      </c>
      <c r="C70" s="41" t="s">
        <v>168</v>
      </c>
      <c r="D70" s="41" t="s">
        <v>830</v>
      </c>
      <c r="E70" s="41">
        <v>1</v>
      </c>
      <c r="F70" s="41" t="s">
        <v>871</v>
      </c>
    </row>
    <row r="71" spans="2:6" x14ac:dyDescent="0.3">
      <c r="B71" s="41">
        <v>36</v>
      </c>
      <c r="C71" s="41" t="s">
        <v>168</v>
      </c>
      <c r="D71" s="41" t="s">
        <v>830</v>
      </c>
      <c r="E71" s="41">
        <v>2</v>
      </c>
      <c r="F71" s="41" t="s">
        <v>872</v>
      </c>
    </row>
    <row r="72" spans="2:6" x14ac:dyDescent="0.3">
      <c r="B72" s="41">
        <v>37</v>
      </c>
      <c r="C72" s="41" t="s">
        <v>168</v>
      </c>
      <c r="D72" s="41" t="s">
        <v>830</v>
      </c>
      <c r="E72" s="41">
        <v>3</v>
      </c>
      <c r="F72" s="41" t="s">
        <v>873</v>
      </c>
    </row>
    <row r="73" spans="2:6" x14ac:dyDescent="0.3">
      <c r="B73" s="41">
        <v>38</v>
      </c>
      <c r="C73" s="41" t="s">
        <v>168</v>
      </c>
      <c r="D73" s="41" t="s">
        <v>831</v>
      </c>
      <c r="E73" s="41">
        <v>1</v>
      </c>
      <c r="F73" s="41" t="s">
        <v>874</v>
      </c>
    </row>
    <row r="74" spans="2:6" x14ac:dyDescent="0.3">
      <c r="B74" s="41">
        <v>39</v>
      </c>
      <c r="C74" s="41" t="s">
        <v>168</v>
      </c>
      <c r="D74" s="41" t="s">
        <v>831</v>
      </c>
      <c r="E74" s="41">
        <v>2</v>
      </c>
      <c r="F74" s="41" t="s">
        <v>875</v>
      </c>
    </row>
    <row r="75" spans="2:6" x14ac:dyDescent="0.3">
      <c r="B75" s="41">
        <v>40</v>
      </c>
      <c r="C75" s="41" t="s">
        <v>168</v>
      </c>
      <c r="D75" s="41" t="s">
        <v>831</v>
      </c>
      <c r="E75" s="41">
        <v>3</v>
      </c>
      <c r="F75" s="41" t="s">
        <v>876</v>
      </c>
    </row>
    <row r="76" spans="2:6" x14ac:dyDescent="0.3">
      <c r="B76" s="41">
        <v>41</v>
      </c>
      <c r="C76" s="41" t="s">
        <v>168</v>
      </c>
      <c r="D76" s="41" t="s">
        <v>832</v>
      </c>
      <c r="E76" s="41">
        <v>1</v>
      </c>
      <c r="F76" s="41" t="s">
        <v>877</v>
      </c>
    </row>
    <row r="77" spans="2:6" x14ac:dyDescent="0.3">
      <c r="B77" s="41">
        <v>42</v>
      </c>
      <c r="C77" s="41" t="s">
        <v>168</v>
      </c>
      <c r="D77" s="41" t="s">
        <v>832</v>
      </c>
      <c r="E77" s="41">
        <v>2</v>
      </c>
      <c r="F77" s="41" t="s">
        <v>878</v>
      </c>
    </row>
    <row r="78" spans="2:6" x14ac:dyDescent="0.3">
      <c r="B78" s="41">
        <v>43</v>
      </c>
      <c r="C78" s="41" t="s">
        <v>168</v>
      </c>
      <c r="D78" s="41" t="s">
        <v>832</v>
      </c>
      <c r="E78" s="41">
        <v>3</v>
      </c>
      <c r="F78" s="41" t="s">
        <v>879</v>
      </c>
    </row>
    <row r="79" spans="2:6" x14ac:dyDescent="0.3">
      <c r="B79" s="41">
        <v>44</v>
      </c>
      <c r="C79" s="41" t="s">
        <v>168</v>
      </c>
      <c r="D79" s="41" t="s">
        <v>833</v>
      </c>
      <c r="E79" s="41">
        <v>1</v>
      </c>
      <c r="F79" s="41" t="s">
        <v>880</v>
      </c>
    </row>
    <row r="80" spans="2:6" x14ac:dyDescent="0.3">
      <c r="B80" s="41">
        <v>45</v>
      </c>
      <c r="C80" s="41" t="s">
        <v>168</v>
      </c>
      <c r="D80" s="41" t="s">
        <v>833</v>
      </c>
      <c r="E80" s="41">
        <v>2</v>
      </c>
      <c r="F80" s="41" t="s">
        <v>881</v>
      </c>
    </row>
    <row r="81" spans="2:6" x14ac:dyDescent="0.3">
      <c r="B81" s="41">
        <v>46</v>
      </c>
      <c r="C81" s="41" t="s">
        <v>168</v>
      </c>
      <c r="D81" s="41" t="s">
        <v>833</v>
      </c>
      <c r="E81" s="41">
        <v>3</v>
      </c>
      <c r="F81" s="41" t="s">
        <v>882</v>
      </c>
    </row>
    <row r="82" spans="2:6" x14ac:dyDescent="0.3">
      <c r="B82" s="41">
        <v>47</v>
      </c>
      <c r="C82" s="41" t="s">
        <v>168</v>
      </c>
      <c r="D82" s="41" t="s">
        <v>834</v>
      </c>
      <c r="E82" s="41">
        <v>1</v>
      </c>
      <c r="F82" s="41" t="s">
        <v>883</v>
      </c>
    </row>
    <row r="83" spans="2:6" x14ac:dyDescent="0.3">
      <c r="B83" s="41">
        <v>48</v>
      </c>
      <c r="C83" s="41" t="s">
        <v>168</v>
      </c>
      <c r="D83" s="41" t="s">
        <v>834</v>
      </c>
      <c r="E83" s="41">
        <v>2</v>
      </c>
      <c r="F83" s="41" t="s">
        <v>884</v>
      </c>
    </row>
    <row r="84" spans="2:6" x14ac:dyDescent="0.3">
      <c r="B84" s="41">
        <v>49</v>
      </c>
      <c r="C84" s="41" t="s">
        <v>168</v>
      </c>
      <c r="D84" s="41" t="s">
        <v>834</v>
      </c>
      <c r="E84" s="41">
        <v>3</v>
      </c>
      <c r="F84" s="41" t="s">
        <v>885</v>
      </c>
    </row>
    <row r="85" spans="2:6" x14ac:dyDescent="0.3">
      <c r="B85" s="41">
        <v>50</v>
      </c>
      <c r="C85" s="41" t="s">
        <v>168</v>
      </c>
      <c r="D85" s="41" t="s">
        <v>835</v>
      </c>
      <c r="E85" s="41">
        <v>1</v>
      </c>
      <c r="F85" s="41" t="s">
        <v>886</v>
      </c>
    </row>
    <row r="86" spans="2:6" x14ac:dyDescent="0.3">
      <c r="B86" s="41">
        <v>51</v>
      </c>
      <c r="C86" s="41" t="s">
        <v>168</v>
      </c>
      <c r="D86" s="41" t="s">
        <v>835</v>
      </c>
      <c r="E86" s="41">
        <v>2</v>
      </c>
      <c r="F86" s="41" t="s">
        <v>887</v>
      </c>
    </row>
    <row r="87" spans="2:6" x14ac:dyDescent="0.3">
      <c r="B87" s="41">
        <v>52</v>
      </c>
      <c r="C87" s="41" t="s">
        <v>168</v>
      </c>
      <c r="D87" s="41" t="s">
        <v>835</v>
      </c>
      <c r="E87" s="41">
        <v>3</v>
      </c>
      <c r="F87" s="41" t="s">
        <v>888</v>
      </c>
    </row>
    <row r="88" spans="2:6" x14ac:dyDescent="0.3">
      <c r="B88" s="41">
        <v>53</v>
      </c>
      <c r="C88" s="41" t="s">
        <v>168</v>
      </c>
      <c r="D88" s="41" t="s">
        <v>836</v>
      </c>
      <c r="E88" s="41">
        <v>1</v>
      </c>
      <c r="F88" s="41" t="s">
        <v>889</v>
      </c>
    </row>
    <row r="89" spans="2:6" x14ac:dyDescent="0.3">
      <c r="B89" s="41">
        <v>54</v>
      </c>
      <c r="C89" s="41" t="s">
        <v>168</v>
      </c>
      <c r="D89" s="41" t="s">
        <v>836</v>
      </c>
      <c r="E89" s="41">
        <v>2</v>
      </c>
      <c r="F89" s="41" t="s">
        <v>890</v>
      </c>
    </row>
    <row r="90" spans="2:6" x14ac:dyDescent="0.3">
      <c r="B90" s="41">
        <v>55</v>
      </c>
      <c r="C90" s="41" t="s">
        <v>168</v>
      </c>
      <c r="D90" s="41" t="s">
        <v>836</v>
      </c>
      <c r="E90" s="41">
        <v>3</v>
      </c>
      <c r="F90" s="41" t="s">
        <v>891</v>
      </c>
    </row>
  </sheetData>
  <mergeCells count="1">
    <mergeCell ref="B2:F2"/>
  </mergeCells>
  <pageMargins left="0.25" right="0.25" top="0.75" bottom="0.75" header="0.3" footer="0.3"/>
  <pageSetup paperSize="9" scale="65" fitToHeight="0" orientation="landscape" horizontalDpi="300" verticalDpi="300" r:id="rId1"/>
  <headerFooter>
    <oddFooter>&amp;LPulse Oximetry allocation&amp;C&amp;A&amp;R&amp;P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2" tint="-0.249977111117893"/>
    <pageSetUpPr fitToPage="1"/>
  </sheetPr>
  <dimension ref="B2:F71"/>
  <sheetViews>
    <sheetView showGridLines="0" view="pageLayout" topLeftCell="A66" zoomScaleNormal="90" workbookViewId="0">
      <selection activeCell="D1" sqref="D1:D1048576"/>
    </sheetView>
  </sheetViews>
  <sheetFormatPr defaultColWidth="3.88671875" defaultRowHeight="14.4" x14ac:dyDescent="0.3"/>
  <cols>
    <col min="1" max="1" width="9.88671875" customWidth="1"/>
    <col min="2" max="2" width="28.6640625" customWidth="1"/>
    <col min="3" max="3" width="25.5546875" customWidth="1"/>
    <col min="4" max="4" width="44.5546875" customWidth="1"/>
    <col min="5" max="5" width="10.88671875" customWidth="1"/>
    <col min="6" max="6" width="14.5546875" customWidth="1"/>
  </cols>
  <sheetData>
    <row r="2" spans="2:6" ht="23.25" customHeight="1" thickBot="1" x14ac:dyDescent="0.35">
      <c r="B2" s="245" t="s">
        <v>892</v>
      </c>
      <c r="C2" s="245"/>
      <c r="D2" s="245"/>
      <c r="E2" s="245"/>
      <c r="F2" s="245"/>
    </row>
    <row r="3" spans="2:6" x14ac:dyDescent="0.3">
      <c r="B3" s="14"/>
      <c r="C3" s="197"/>
      <c r="D3" s="14"/>
      <c r="E3" s="14"/>
      <c r="F3" s="14"/>
    </row>
    <row r="4" spans="2:6" ht="17.25" customHeight="1" x14ac:dyDescent="0.3">
      <c r="B4" s="225" t="s">
        <v>893</v>
      </c>
      <c r="C4" s="226">
        <v>44</v>
      </c>
    </row>
    <row r="5" spans="2:6" ht="15" customHeight="1" thickBot="1" x14ac:dyDescent="0.35">
      <c r="B5" s="227" t="s">
        <v>288</v>
      </c>
    </row>
    <row r="7" spans="2:6" x14ac:dyDescent="0.3">
      <c r="B7" s="228" t="s">
        <v>289</v>
      </c>
      <c r="C7" s="229">
        <v>5</v>
      </c>
    </row>
    <row r="8" spans="2:6" x14ac:dyDescent="0.3">
      <c r="B8" s="228" t="s">
        <v>147</v>
      </c>
      <c r="C8" s="229">
        <v>39</v>
      </c>
      <c r="E8" s="38"/>
    </row>
    <row r="10" spans="2:6" x14ac:dyDescent="0.3">
      <c r="B10" s="241" t="s">
        <v>197</v>
      </c>
      <c r="C10" s="241" t="s">
        <v>215</v>
      </c>
      <c r="D10" s="241" t="s">
        <v>290</v>
      </c>
    </row>
    <row r="11" spans="2:6" x14ac:dyDescent="0.3">
      <c r="B11" s="230">
        <v>1</v>
      </c>
      <c r="C11" s="231" t="s">
        <v>894</v>
      </c>
      <c r="D11" s="230">
        <v>3</v>
      </c>
    </row>
    <row r="12" spans="2:6" x14ac:dyDescent="0.3">
      <c r="B12" s="230">
        <v>2</v>
      </c>
      <c r="C12" s="231" t="s">
        <v>895</v>
      </c>
      <c r="D12" s="230">
        <v>3</v>
      </c>
    </row>
    <row r="13" spans="2:6" x14ac:dyDescent="0.3">
      <c r="B13" s="230">
        <v>3</v>
      </c>
      <c r="C13" s="231" t="s">
        <v>896</v>
      </c>
      <c r="D13" s="230">
        <v>3</v>
      </c>
    </row>
    <row r="14" spans="2:6" x14ac:dyDescent="0.3">
      <c r="B14" s="230">
        <v>4</v>
      </c>
      <c r="C14" s="231" t="s">
        <v>897</v>
      </c>
      <c r="D14" s="230">
        <v>3</v>
      </c>
    </row>
    <row r="15" spans="2:6" x14ac:dyDescent="0.3">
      <c r="B15" s="230">
        <v>5</v>
      </c>
      <c r="C15" s="231" t="s">
        <v>898</v>
      </c>
      <c r="D15" s="230">
        <v>3</v>
      </c>
    </row>
    <row r="16" spans="2:6" x14ac:dyDescent="0.3">
      <c r="B16" s="230">
        <v>6</v>
      </c>
      <c r="C16" s="231" t="s">
        <v>899</v>
      </c>
      <c r="D16" s="230">
        <v>5</v>
      </c>
    </row>
    <row r="17" spans="2:6" x14ac:dyDescent="0.3">
      <c r="B17" s="230">
        <v>7</v>
      </c>
      <c r="C17" s="231" t="s">
        <v>900</v>
      </c>
      <c r="D17" s="230">
        <v>3</v>
      </c>
    </row>
    <row r="18" spans="2:6" x14ac:dyDescent="0.3">
      <c r="B18" s="230">
        <v>8</v>
      </c>
      <c r="C18" s="231" t="s">
        <v>901</v>
      </c>
      <c r="D18" s="230">
        <v>3</v>
      </c>
    </row>
    <row r="19" spans="2:6" x14ac:dyDescent="0.3">
      <c r="B19" s="230">
        <v>9</v>
      </c>
      <c r="C19" s="231" t="s">
        <v>902</v>
      </c>
      <c r="D19" s="230">
        <v>3</v>
      </c>
    </row>
    <row r="20" spans="2:6" x14ac:dyDescent="0.3">
      <c r="B20" s="230">
        <v>10</v>
      </c>
      <c r="C20" s="231" t="s">
        <v>903</v>
      </c>
      <c r="D20" s="230">
        <v>3</v>
      </c>
    </row>
    <row r="21" spans="2:6" x14ac:dyDescent="0.3">
      <c r="B21" s="230">
        <v>11</v>
      </c>
      <c r="C21" s="231" t="s">
        <v>904</v>
      </c>
      <c r="D21" s="230">
        <v>3</v>
      </c>
    </row>
    <row r="22" spans="2:6" x14ac:dyDescent="0.3">
      <c r="B22" s="230">
        <v>12</v>
      </c>
      <c r="C22" s="231" t="s">
        <v>905</v>
      </c>
      <c r="D22" s="230">
        <v>3</v>
      </c>
    </row>
    <row r="23" spans="2:6" x14ac:dyDescent="0.3">
      <c r="B23" s="230">
        <v>13</v>
      </c>
      <c r="C23" s="231" t="s">
        <v>906</v>
      </c>
      <c r="D23" s="230">
        <v>3</v>
      </c>
    </row>
    <row r="24" spans="2:6" x14ac:dyDescent="0.3">
      <c r="B24" s="230">
        <v>14</v>
      </c>
      <c r="C24" s="231" t="s">
        <v>907</v>
      </c>
      <c r="D24" s="230">
        <v>3</v>
      </c>
    </row>
    <row r="25" spans="2:6" x14ac:dyDescent="0.3">
      <c r="B25" s="232" t="s">
        <v>150</v>
      </c>
      <c r="C25" s="232"/>
      <c r="D25" s="233">
        <f>SUM(D11:D24)</f>
        <v>44</v>
      </c>
    </row>
    <row r="27" spans="2:6" x14ac:dyDescent="0.3">
      <c r="B27" s="241" t="s">
        <v>197</v>
      </c>
      <c r="C27" s="241" t="s">
        <v>151</v>
      </c>
      <c r="D27" s="241" t="s">
        <v>215</v>
      </c>
      <c r="E27" s="241" t="s">
        <v>216</v>
      </c>
      <c r="F27" s="241" t="s">
        <v>217</v>
      </c>
    </row>
    <row r="28" spans="2:6" x14ac:dyDescent="0.3">
      <c r="B28" s="230">
        <v>1</v>
      </c>
      <c r="C28" s="231" t="s">
        <v>169</v>
      </c>
      <c r="D28" s="231" t="s">
        <v>894</v>
      </c>
      <c r="E28" s="230">
        <v>1</v>
      </c>
      <c r="F28" s="231" t="s">
        <v>908</v>
      </c>
    </row>
    <row r="29" spans="2:6" x14ac:dyDescent="0.3">
      <c r="B29" s="230">
        <v>2</v>
      </c>
      <c r="C29" s="231" t="s">
        <v>169</v>
      </c>
      <c r="D29" s="231" t="s">
        <v>894</v>
      </c>
      <c r="E29" s="230">
        <v>2</v>
      </c>
      <c r="F29" s="231" t="s">
        <v>909</v>
      </c>
    </row>
    <row r="30" spans="2:6" x14ac:dyDescent="0.3">
      <c r="B30" s="230">
        <v>3</v>
      </c>
      <c r="C30" s="231" t="s">
        <v>169</v>
      </c>
      <c r="D30" s="231" t="s">
        <v>894</v>
      </c>
      <c r="E30" s="230">
        <v>3</v>
      </c>
      <c r="F30" s="231" t="s">
        <v>910</v>
      </c>
    </row>
    <row r="31" spans="2:6" x14ac:dyDescent="0.3">
      <c r="B31" s="230">
        <v>4</v>
      </c>
      <c r="C31" s="231" t="s">
        <v>169</v>
      </c>
      <c r="D31" s="231" t="s">
        <v>895</v>
      </c>
      <c r="E31" s="230">
        <v>1</v>
      </c>
      <c r="F31" s="231" t="s">
        <v>911</v>
      </c>
    </row>
    <row r="32" spans="2:6" x14ac:dyDescent="0.3">
      <c r="B32" s="230">
        <v>5</v>
      </c>
      <c r="C32" s="231" t="s">
        <v>169</v>
      </c>
      <c r="D32" s="231" t="s">
        <v>895</v>
      </c>
      <c r="E32" s="230">
        <v>2</v>
      </c>
      <c r="F32" s="231" t="s">
        <v>912</v>
      </c>
    </row>
    <row r="33" spans="2:6" x14ac:dyDescent="0.3">
      <c r="B33" s="230">
        <v>6</v>
      </c>
      <c r="C33" s="231" t="s">
        <v>169</v>
      </c>
      <c r="D33" s="231" t="s">
        <v>895</v>
      </c>
      <c r="E33" s="230">
        <v>3</v>
      </c>
      <c r="F33" s="231" t="s">
        <v>913</v>
      </c>
    </row>
    <row r="34" spans="2:6" x14ac:dyDescent="0.3">
      <c r="B34" s="230">
        <v>7</v>
      </c>
      <c r="C34" s="231" t="s">
        <v>169</v>
      </c>
      <c r="D34" s="231" t="s">
        <v>896</v>
      </c>
      <c r="E34" s="230">
        <v>1</v>
      </c>
      <c r="F34" s="231" t="s">
        <v>914</v>
      </c>
    </row>
    <row r="35" spans="2:6" x14ac:dyDescent="0.3">
      <c r="B35" s="230">
        <v>8</v>
      </c>
      <c r="C35" s="231" t="s">
        <v>169</v>
      </c>
      <c r="D35" s="231" t="s">
        <v>896</v>
      </c>
      <c r="E35" s="230">
        <v>2</v>
      </c>
      <c r="F35" s="231" t="s">
        <v>915</v>
      </c>
    </row>
    <row r="36" spans="2:6" x14ac:dyDescent="0.3">
      <c r="B36" s="230">
        <v>9</v>
      </c>
      <c r="C36" s="231" t="s">
        <v>169</v>
      </c>
      <c r="D36" s="231" t="s">
        <v>896</v>
      </c>
      <c r="E36" s="230">
        <v>3</v>
      </c>
      <c r="F36" s="231" t="s">
        <v>916</v>
      </c>
    </row>
    <row r="37" spans="2:6" x14ac:dyDescent="0.3">
      <c r="B37" s="230">
        <v>10</v>
      </c>
      <c r="C37" s="231" t="s">
        <v>169</v>
      </c>
      <c r="D37" s="231" t="s">
        <v>897</v>
      </c>
      <c r="E37" s="230">
        <v>1</v>
      </c>
      <c r="F37" s="231" t="s">
        <v>917</v>
      </c>
    </row>
    <row r="38" spans="2:6" x14ac:dyDescent="0.3">
      <c r="B38" s="230">
        <v>11</v>
      </c>
      <c r="C38" s="231" t="s">
        <v>169</v>
      </c>
      <c r="D38" s="231" t="s">
        <v>897</v>
      </c>
      <c r="E38" s="230">
        <v>2</v>
      </c>
      <c r="F38" s="231" t="s">
        <v>918</v>
      </c>
    </row>
    <row r="39" spans="2:6" x14ac:dyDescent="0.3">
      <c r="B39" s="230">
        <v>12</v>
      </c>
      <c r="C39" s="231" t="s">
        <v>169</v>
      </c>
      <c r="D39" s="231" t="s">
        <v>897</v>
      </c>
      <c r="E39" s="230">
        <v>3</v>
      </c>
      <c r="F39" s="231" t="s">
        <v>919</v>
      </c>
    </row>
    <row r="40" spans="2:6" x14ac:dyDescent="0.3">
      <c r="B40" s="230">
        <v>13</v>
      </c>
      <c r="C40" s="231" t="s">
        <v>169</v>
      </c>
      <c r="D40" s="231" t="s">
        <v>898</v>
      </c>
      <c r="E40" s="230">
        <v>1</v>
      </c>
      <c r="F40" s="231" t="s">
        <v>920</v>
      </c>
    </row>
    <row r="41" spans="2:6" x14ac:dyDescent="0.3">
      <c r="B41" s="230">
        <v>14</v>
      </c>
      <c r="C41" s="231" t="s">
        <v>169</v>
      </c>
      <c r="D41" s="231" t="s">
        <v>898</v>
      </c>
      <c r="E41" s="230">
        <v>2</v>
      </c>
      <c r="F41" s="231" t="s">
        <v>921</v>
      </c>
    </row>
    <row r="42" spans="2:6" x14ac:dyDescent="0.3">
      <c r="B42" s="230">
        <v>15</v>
      </c>
      <c r="C42" s="231" t="s">
        <v>169</v>
      </c>
      <c r="D42" s="231" t="s">
        <v>898</v>
      </c>
      <c r="E42" s="230">
        <v>3</v>
      </c>
      <c r="F42" s="231" t="s">
        <v>922</v>
      </c>
    </row>
    <row r="43" spans="2:6" x14ac:dyDescent="0.3">
      <c r="B43" s="230">
        <v>16</v>
      </c>
      <c r="C43" s="231" t="s">
        <v>169</v>
      </c>
      <c r="D43" s="231" t="s">
        <v>899</v>
      </c>
      <c r="E43" s="230">
        <v>1</v>
      </c>
      <c r="F43" s="231" t="s">
        <v>923</v>
      </c>
    </row>
    <row r="44" spans="2:6" x14ac:dyDescent="0.3">
      <c r="B44" s="230">
        <v>17</v>
      </c>
      <c r="C44" s="231" t="s">
        <v>169</v>
      </c>
      <c r="D44" s="231" t="s">
        <v>899</v>
      </c>
      <c r="E44" s="230">
        <v>2</v>
      </c>
      <c r="F44" s="231" t="s">
        <v>924</v>
      </c>
    </row>
    <row r="45" spans="2:6" x14ac:dyDescent="0.3">
      <c r="B45" s="230">
        <v>18</v>
      </c>
      <c r="C45" s="231" t="s">
        <v>169</v>
      </c>
      <c r="D45" s="231" t="s">
        <v>899</v>
      </c>
      <c r="E45" s="230">
        <v>3</v>
      </c>
      <c r="F45" s="231" t="s">
        <v>925</v>
      </c>
    </row>
    <row r="46" spans="2:6" x14ac:dyDescent="0.3">
      <c r="B46" s="230">
        <v>19</v>
      </c>
      <c r="C46" s="231" t="s">
        <v>169</v>
      </c>
      <c r="D46" s="231" t="s">
        <v>899</v>
      </c>
      <c r="E46" s="230">
        <v>4</v>
      </c>
      <c r="F46" s="231" t="s">
        <v>926</v>
      </c>
    </row>
    <row r="47" spans="2:6" x14ac:dyDescent="0.3">
      <c r="B47" s="230">
        <v>20</v>
      </c>
      <c r="C47" s="231" t="s">
        <v>169</v>
      </c>
      <c r="D47" s="231" t="s">
        <v>899</v>
      </c>
      <c r="E47" s="230">
        <v>5</v>
      </c>
      <c r="F47" s="231" t="s">
        <v>927</v>
      </c>
    </row>
    <row r="48" spans="2:6" x14ac:dyDescent="0.3">
      <c r="B48" s="230">
        <v>21</v>
      </c>
      <c r="C48" s="231" t="s">
        <v>169</v>
      </c>
      <c r="D48" s="231" t="s">
        <v>900</v>
      </c>
      <c r="E48" s="230">
        <v>1</v>
      </c>
      <c r="F48" s="231" t="s">
        <v>928</v>
      </c>
    </row>
    <row r="49" spans="2:6" x14ac:dyDescent="0.3">
      <c r="B49" s="230">
        <v>22</v>
      </c>
      <c r="C49" s="231" t="s">
        <v>169</v>
      </c>
      <c r="D49" s="231" t="s">
        <v>900</v>
      </c>
      <c r="E49" s="230">
        <v>2</v>
      </c>
      <c r="F49" s="231" t="s">
        <v>929</v>
      </c>
    </row>
    <row r="50" spans="2:6" x14ac:dyDescent="0.3">
      <c r="B50" s="230">
        <v>23</v>
      </c>
      <c r="C50" s="231" t="s">
        <v>169</v>
      </c>
      <c r="D50" s="231" t="s">
        <v>900</v>
      </c>
      <c r="E50" s="230">
        <v>3</v>
      </c>
      <c r="F50" s="231" t="s">
        <v>930</v>
      </c>
    </row>
    <row r="51" spans="2:6" x14ac:dyDescent="0.3">
      <c r="B51" s="230">
        <v>24</v>
      </c>
      <c r="C51" s="231" t="s">
        <v>169</v>
      </c>
      <c r="D51" s="231" t="s">
        <v>901</v>
      </c>
      <c r="E51" s="230">
        <v>1</v>
      </c>
      <c r="F51" s="231" t="s">
        <v>931</v>
      </c>
    </row>
    <row r="52" spans="2:6" x14ac:dyDescent="0.3">
      <c r="B52" s="230">
        <v>25</v>
      </c>
      <c r="C52" s="231" t="s">
        <v>169</v>
      </c>
      <c r="D52" s="231" t="s">
        <v>901</v>
      </c>
      <c r="E52" s="230">
        <v>2</v>
      </c>
      <c r="F52" s="231" t="s">
        <v>932</v>
      </c>
    </row>
    <row r="53" spans="2:6" x14ac:dyDescent="0.3">
      <c r="B53" s="230">
        <v>26</v>
      </c>
      <c r="C53" s="231" t="s">
        <v>169</v>
      </c>
      <c r="D53" s="231" t="s">
        <v>901</v>
      </c>
      <c r="E53" s="230">
        <v>3</v>
      </c>
      <c r="F53" s="231" t="s">
        <v>933</v>
      </c>
    </row>
    <row r="54" spans="2:6" x14ac:dyDescent="0.3">
      <c r="B54" s="230">
        <v>27</v>
      </c>
      <c r="C54" s="231" t="s">
        <v>169</v>
      </c>
      <c r="D54" s="231" t="s">
        <v>902</v>
      </c>
      <c r="E54" s="230">
        <v>1</v>
      </c>
      <c r="F54" s="231" t="s">
        <v>934</v>
      </c>
    </row>
    <row r="55" spans="2:6" x14ac:dyDescent="0.3">
      <c r="B55" s="230">
        <v>28</v>
      </c>
      <c r="C55" s="231" t="s">
        <v>169</v>
      </c>
      <c r="D55" s="231" t="s">
        <v>902</v>
      </c>
      <c r="E55" s="230">
        <v>2</v>
      </c>
      <c r="F55" s="231" t="s">
        <v>935</v>
      </c>
    </row>
    <row r="56" spans="2:6" x14ac:dyDescent="0.3">
      <c r="B56" s="230">
        <v>29</v>
      </c>
      <c r="C56" s="231" t="s">
        <v>169</v>
      </c>
      <c r="D56" s="231" t="s">
        <v>902</v>
      </c>
      <c r="E56" s="230">
        <v>3</v>
      </c>
      <c r="F56" s="231" t="s">
        <v>936</v>
      </c>
    </row>
    <row r="57" spans="2:6" x14ac:dyDescent="0.3">
      <c r="B57" s="230">
        <v>30</v>
      </c>
      <c r="C57" s="231" t="s">
        <v>169</v>
      </c>
      <c r="D57" s="231" t="s">
        <v>903</v>
      </c>
      <c r="E57" s="230">
        <v>1</v>
      </c>
      <c r="F57" s="231" t="s">
        <v>937</v>
      </c>
    </row>
    <row r="58" spans="2:6" x14ac:dyDescent="0.3">
      <c r="B58" s="230">
        <v>31</v>
      </c>
      <c r="C58" s="231" t="s">
        <v>169</v>
      </c>
      <c r="D58" s="231" t="s">
        <v>903</v>
      </c>
      <c r="E58" s="230">
        <v>2</v>
      </c>
      <c r="F58" s="231" t="s">
        <v>938</v>
      </c>
    </row>
    <row r="59" spans="2:6" x14ac:dyDescent="0.3">
      <c r="B59" s="230">
        <v>32</v>
      </c>
      <c r="C59" s="231" t="s">
        <v>169</v>
      </c>
      <c r="D59" s="231" t="s">
        <v>903</v>
      </c>
      <c r="E59" s="230">
        <v>3</v>
      </c>
      <c r="F59" s="231" t="s">
        <v>939</v>
      </c>
    </row>
    <row r="60" spans="2:6" x14ac:dyDescent="0.3">
      <c r="B60" s="230">
        <v>33</v>
      </c>
      <c r="C60" s="231" t="s">
        <v>169</v>
      </c>
      <c r="D60" s="231" t="s">
        <v>904</v>
      </c>
      <c r="E60" s="230">
        <v>1</v>
      </c>
      <c r="F60" s="231" t="s">
        <v>940</v>
      </c>
    </row>
    <row r="61" spans="2:6" x14ac:dyDescent="0.3">
      <c r="B61" s="230">
        <v>34</v>
      </c>
      <c r="C61" s="231" t="s">
        <v>169</v>
      </c>
      <c r="D61" s="231" t="s">
        <v>904</v>
      </c>
      <c r="E61" s="230">
        <v>2</v>
      </c>
      <c r="F61" s="231" t="s">
        <v>941</v>
      </c>
    </row>
    <row r="62" spans="2:6" x14ac:dyDescent="0.3">
      <c r="B62" s="230">
        <v>35</v>
      </c>
      <c r="C62" s="231" t="s">
        <v>169</v>
      </c>
      <c r="D62" s="231" t="s">
        <v>904</v>
      </c>
      <c r="E62" s="230">
        <v>3</v>
      </c>
      <c r="F62" s="231" t="s">
        <v>942</v>
      </c>
    </row>
    <row r="63" spans="2:6" x14ac:dyDescent="0.3">
      <c r="B63" s="230">
        <v>36</v>
      </c>
      <c r="C63" s="231" t="s">
        <v>169</v>
      </c>
      <c r="D63" s="231" t="s">
        <v>905</v>
      </c>
      <c r="E63" s="230">
        <v>1</v>
      </c>
      <c r="F63" s="231" t="s">
        <v>943</v>
      </c>
    </row>
    <row r="64" spans="2:6" x14ac:dyDescent="0.3">
      <c r="B64" s="230">
        <v>37</v>
      </c>
      <c r="C64" s="231" t="s">
        <v>169</v>
      </c>
      <c r="D64" s="231" t="s">
        <v>905</v>
      </c>
      <c r="E64" s="230">
        <v>2</v>
      </c>
      <c r="F64" s="231" t="s">
        <v>944</v>
      </c>
    </row>
    <row r="65" spans="2:6" x14ac:dyDescent="0.3">
      <c r="B65" s="230">
        <v>38</v>
      </c>
      <c r="C65" s="231" t="s">
        <v>169</v>
      </c>
      <c r="D65" s="231" t="s">
        <v>905</v>
      </c>
      <c r="E65" s="230">
        <v>3</v>
      </c>
      <c r="F65" s="231" t="s">
        <v>945</v>
      </c>
    </row>
    <row r="66" spans="2:6" x14ac:dyDescent="0.3">
      <c r="B66" s="230">
        <v>39</v>
      </c>
      <c r="C66" s="231" t="s">
        <v>169</v>
      </c>
      <c r="D66" s="231" t="s">
        <v>906</v>
      </c>
      <c r="E66" s="230">
        <v>1</v>
      </c>
      <c r="F66" s="231" t="s">
        <v>946</v>
      </c>
    </row>
    <row r="67" spans="2:6" x14ac:dyDescent="0.3">
      <c r="B67" s="230">
        <v>40</v>
      </c>
      <c r="C67" s="231" t="s">
        <v>169</v>
      </c>
      <c r="D67" s="231" t="s">
        <v>906</v>
      </c>
      <c r="E67" s="230">
        <v>2</v>
      </c>
      <c r="F67" s="231" t="s">
        <v>947</v>
      </c>
    </row>
    <row r="68" spans="2:6" x14ac:dyDescent="0.3">
      <c r="B68" s="230">
        <v>41</v>
      </c>
      <c r="C68" s="231" t="s">
        <v>169</v>
      </c>
      <c r="D68" s="231" t="s">
        <v>906</v>
      </c>
      <c r="E68" s="230">
        <v>3</v>
      </c>
      <c r="F68" s="231" t="s">
        <v>948</v>
      </c>
    </row>
    <row r="69" spans="2:6" x14ac:dyDescent="0.3">
      <c r="B69" s="230">
        <v>42</v>
      </c>
      <c r="C69" s="231" t="s">
        <v>169</v>
      </c>
      <c r="D69" s="231" t="s">
        <v>907</v>
      </c>
      <c r="E69" s="230">
        <v>1</v>
      </c>
      <c r="F69" s="231" t="s">
        <v>949</v>
      </c>
    </row>
    <row r="70" spans="2:6" x14ac:dyDescent="0.3">
      <c r="B70" s="230">
        <v>43</v>
      </c>
      <c r="C70" s="231" t="s">
        <v>169</v>
      </c>
      <c r="D70" s="231" t="s">
        <v>907</v>
      </c>
      <c r="E70" s="230">
        <v>2</v>
      </c>
      <c r="F70" s="231" t="s">
        <v>950</v>
      </c>
    </row>
    <row r="71" spans="2:6" x14ac:dyDescent="0.3">
      <c r="B71" s="230">
        <v>44</v>
      </c>
      <c r="C71" s="231" t="s">
        <v>169</v>
      </c>
      <c r="D71" s="231" t="s">
        <v>907</v>
      </c>
      <c r="E71" s="230">
        <v>3</v>
      </c>
      <c r="F71" s="231" t="s">
        <v>951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2" tint="-0.249977111117893"/>
    <pageSetUpPr fitToPage="1"/>
  </sheetPr>
  <dimension ref="B2:F38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952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953</v>
      </c>
      <c r="C4" s="22">
        <v>19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14</v>
      </c>
      <c r="E8" s="38" t="s">
        <v>954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955</v>
      </c>
      <c r="D11" s="40">
        <v>3</v>
      </c>
    </row>
    <row r="12" spans="2:6" x14ac:dyDescent="0.3">
      <c r="B12" s="39">
        <v>2</v>
      </c>
      <c r="C12" s="39" t="s">
        <v>956</v>
      </c>
      <c r="D12" s="40">
        <v>3</v>
      </c>
    </row>
    <row r="13" spans="2:6" x14ac:dyDescent="0.3">
      <c r="B13" s="39">
        <v>3</v>
      </c>
      <c r="C13" s="39" t="s">
        <v>957</v>
      </c>
      <c r="D13" s="40">
        <v>3</v>
      </c>
    </row>
    <row r="14" spans="2:6" x14ac:dyDescent="0.3">
      <c r="B14" s="39">
        <v>4</v>
      </c>
      <c r="C14" s="39" t="s">
        <v>958</v>
      </c>
      <c r="D14" s="40">
        <v>5</v>
      </c>
    </row>
    <row r="15" spans="2:6" x14ac:dyDescent="0.3">
      <c r="B15" s="39">
        <v>5</v>
      </c>
      <c r="C15" s="39" t="s">
        <v>959</v>
      </c>
      <c r="D15" s="40">
        <v>3</v>
      </c>
    </row>
    <row r="16" spans="2:6" x14ac:dyDescent="0.3">
      <c r="B16" s="41">
        <v>6</v>
      </c>
      <c r="C16" s="39" t="s">
        <v>960</v>
      </c>
      <c r="D16" s="40">
        <v>2</v>
      </c>
    </row>
    <row r="17" spans="2:6" x14ac:dyDescent="0.3">
      <c r="C17" s="42" t="s">
        <v>150</v>
      </c>
      <c r="D17" s="43">
        <f>SUM(D11:D16)</f>
        <v>19</v>
      </c>
    </row>
    <row r="19" spans="2:6" x14ac:dyDescent="0.3">
      <c r="B19" s="7" t="s">
        <v>197</v>
      </c>
      <c r="C19" s="7" t="s">
        <v>151</v>
      </c>
      <c r="D19" s="7" t="s">
        <v>215</v>
      </c>
      <c r="E19" s="7" t="s">
        <v>216</v>
      </c>
      <c r="F19" s="7" t="s">
        <v>217</v>
      </c>
    </row>
    <row r="20" spans="2:6" x14ac:dyDescent="0.3">
      <c r="B20" s="41">
        <v>1</v>
      </c>
      <c r="C20" s="41" t="s">
        <v>170</v>
      </c>
      <c r="D20" s="41" t="s">
        <v>955</v>
      </c>
      <c r="E20" s="41">
        <v>1</v>
      </c>
      <c r="F20" s="41" t="s">
        <v>961</v>
      </c>
    </row>
    <row r="21" spans="2:6" x14ac:dyDescent="0.3">
      <c r="B21" s="41">
        <v>2</v>
      </c>
      <c r="C21" s="41" t="s">
        <v>170</v>
      </c>
      <c r="D21" s="41" t="s">
        <v>955</v>
      </c>
      <c r="E21" s="41">
        <v>2</v>
      </c>
      <c r="F21" s="41" t="s">
        <v>962</v>
      </c>
    </row>
    <row r="22" spans="2:6" x14ac:dyDescent="0.3">
      <c r="B22" s="41">
        <v>3</v>
      </c>
      <c r="C22" s="41" t="s">
        <v>170</v>
      </c>
      <c r="D22" s="41" t="s">
        <v>955</v>
      </c>
      <c r="E22" s="41">
        <v>3</v>
      </c>
      <c r="F22" s="41" t="s">
        <v>963</v>
      </c>
    </row>
    <row r="23" spans="2:6" x14ac:dyDescent="0.3">
      <c r="B23" s="41">
        <v>4</v>
      </c>
      <c r="C23" s="41" t="s">
        <v>170</v>
      </c>
      <c r="D23" s="41" t="s">
        <v>956</v>
      </c>
      <c r="E23" s="41">
        <v>1</v>
      </c>
      <c r="F23" s="41" t="s">
        <v>964</v>
      </c>
    </row>
    <row r="24" spans="2:6" x14ac:dyDescent="0.3">
      <c r="B24" s="41">
        <v>5</v>
      </c>
      <c r="C24" s="41" t="s">
        <v>170</v>
      </c>
      <c r="D24" s="41" t="s">
        <v>956</v>
      </c>
      <c r="E24" s="41">
        <v>2</v>
      </c>
      <c r="F24" s="41" t="s">
        <v>965</v>
      </c>
    </row>
    <row r="25" spans="2:6" x14ac:dyDescent="0.3">
      <c r="B25" s="41">
        <v>6</v>
      </c>
      <c r="C25" s="41" t="s">
        <v>170</v>
      </c>
      <c r="D25" s="41" t="s">
        <v>956</v>
      </c>
      <c r="E25" s="41">
        <v>3</v>
      </c>
      <c r="F25" s="41" t="s">
        <v>966</v>
      </c>
    </row>
    <row r="26" spans="2:6" x14ac:dyDescent="0.3">
      <c r="B26" s="41">
        <v>7</v>
      </c>
      <c r="C26" s="41" t="s">
        <v>170</v>
      </c>
      <c r="D26" s="41" t="s">
        <v>957</v>
      </c>
      <c r="E26" s="41">
        <v>1</v>
      </c>
      <c r="F26" s="41" t="s">
        <v>967</v>
      </c>
    </row>
    <row r="27" spans="2:6" x14ac:dyDescent="0.3">
      <c r="B27" s="41">
        <v>8</v>
      </c>
      <c r="C27" s="41" t="s">
        <v>170</v>
      </c>
      <c r="D27" s="41" t="s">
        <v>957</v>
      </c>
      <c r="E27" s="41">
        <v>2</v>
      </c>
      <c r="F27" s="41" t="s">
        <v>968</v>
      </c>
    </row>
    <row r="28" spans="2:6" x14ac:dyDescent="0.3">
      <c r="B28" s="41">
        <v>9</v>
      </c>
      <c r="C28" s="41" t="s">
        <v>170</v>
      </c>
      <c r="D28" s="41" t="s">
        <v>957</v>
      </c>
      <c r="E28" s="41">
        <v>3</v>
      </c>
      <c r="F28" s="41" t="s">
        <v>969</v>
      </c>
    </row>
    <row r="29" spans="2:6" x14ac:dyDescent="0.3">
      <c r="B29" s="41">
        <v>10</v>
      </c>
      <c r="C29" s="41" t="s">
        <v>170</v>
      </c>
      <c r="D29" s="41" t="s">
        <v>958</v>
      </c>
      <c r="E29" s="41">
        <v>1</v>
      </c>
      <c r="F29" s="41" t="s">
        <v>970</v>
      </c>
    </row>
    <row r="30" spans="2:6" x14ac:dyDescent="0.3">
      <c r="B30" s="41">
        <v>11</v>
      </c>
      <c r="C30" s="41" t="s">
        <v>170</v>
      </c>
      <c r="D30" s="41" t="s">
        <v>958</v>
      </c>
      <c r="E30" s="41">
        <v>2</v>
      </c>
      <c r="F30" s="41" t="s">
        <v>971</v>
      </c>
    </row>
    <row r="31" spans="2:6" x14ac:dyDescent="0.3">
      <c r="B31" s="41">
        <v>12</v>
      </c>
      <c r="C31" s="41" t="s">
        <v>170</v>
      </c>
      <c r="D31" s="41" t="s">
        <v>958</v>
      </c>
      <c r="E31" s="41">
        <v>3</v>
      </c>
      <c r="F31" s="41" t="s">
        <v>972</v>
      </c>
    </row>
    <row r="32" spans="2:6" x14ac:dyDescent="0.3">
      <c r="B32" s="41">
        <v>13</v>
      </c>
      <c r="C32" s="41" t="s">
        <v>170</v>
      </c>
      <c r="D32" s="41" t="s">
        <v>958</v>
      </c>
      <c r="E32" s="41">
        <v>4</v>
      </c>
      <c r="F32" s="41" t="s">
        <v>973</v>
      </c>
    </row>
    <row r="33" spans="2:6" x14ac:dyDescent="0.3">
      <c r="B33" s="41">
        <v>14</v>
      </c>
      <c r="C33" s="41" t="s">
        <v>170</v>
      </c>
      <c r="D33" s="41" t="s">
        <v>958</v>
      </c>
      <c r="E33" s="41">
        <v>5</v>
      </c>
      <c r="F33" s="41" t="s">
        <v>974</v>
      </c>
    </row>
    <row r="34" spans="2:6" x14ac:dyDescent="0.3">
      <c r="B34" s="41">
        <v>15</v>
      </c>
      <c r="C34" s="41" t="s">
        <v>170</v>
      </c>
      <c r="D34" s="41" t="s">
        <v>959</v>
      </c>
      <c r="E34" s="41">
        <v>1</v>
      </c>
      <c r="F34" s="41" t="s">
        <v>975</v>
      </c>
    </row>
    <row r="35" spans="2:6" x14ac:dyDescent="0.3">
      <c r="B35" s="41">
        <v>16</v>
      </c>
      <c r="C35" s="41" t="s">
        <v>170</v>
      </c>
      <c r="D35" s="41" t="s">
        <v>959</v>
      </c>
      <c r="E35" s="41">
        <v>2</v>
      </c>
      <c r="F35" s="41" t="s">
        <v>976</v>
      </c>
    </row>
    <row r="36" spans="2:6" x14ac:dyDescent="0.3">
      <c r="B36" s="41">
        <v>17</v>
      </c>
      <c r="C36" s="41" t="s">
        <v>170</v>
      </c>
      <c r="D36" s="41" t="s">
        <v>959</v>
      </c>
      <c r="E36" s="41">
        <v>3</v>
      </c>
      <c r="F36" s="41" t="s">
        <v>977</v>
      </c>
    </row>
    <row r="37" spans="2:6" x14ac:dyDescent="0.3">
      <c r="B37" s="41">
        <v>18</v>
      </c>
      <c r="C37" s="41" t="s">
        <v>170</v>
      </c>
      <c r="D37" s="41" t="s">
        <v>960</v>
      </c>
      <c r="E37" s="41">
        <v>1</v>
      </c>
      <c r="F37" s="41" t="s">
        <v>978</v>
      </c>
    </row>
    <row r="38" spans="2:6" x14ac:dyDescent="0.3">
      <c r="B38" s="41">
        <v>19</v>
      </c>
      <c r="C38" s="41" t="s">
        <v>170</v>
      </c>
      <c r="D38" s="41" t="s">
        <v>960</v>
      </c>
      <c r="E38" s="41">
        <v>2</v>
      </c>
      <c r="F38" s="41" t="s">
        <v>979</v>
      </c>
    </row>
  </sheetData>
  <mergeCells count="1">
    <mergeCell ref="B2:F2"/>
  </mergeCells>
  <pageMargins left="0.25" right="0.25" top="0.75" bottom="0.75" header="0.3" footer="0.3"/>
  <pageSetup paperSize="9" scale="81" fitToHeight="0" orientation="landscape" horizontalDpi="300" verticalDpi="300" r:id="rId1"/>
  <headerFooter>
    <oddFooter>&amp;LPulse Oximetry allocation&amp;C&amp;A&amp;R&amp;P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2" tint="-0.249977111117893"/>
    <pageSetUpPr fitToPage="1"/>
  </sheetPr>
  <dimension ref="B2:F43"/>
  <sheetViews>
    <sheetView showGridLines="0" topLeftCell="C6" zoomScaleNormal="90" zoomScalePageLayoutView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980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981</v>
      </c>
      <c r="C4" s="22">
        <v>23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8</v>
      </c>
    </row>
    <row r="8" spans="2:6" x14ac:dyDescent="0.3">
      <c r="B8" s="36" t="s">
        <v>147</v>
      </c>
      <c r="C8" s="37">
        <v>15</v>
      </c>
      <c r="E8" s="38" t="s">
        <v>982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983</v>
      </c>
      <c r="D11" s="40">
        <v>3</v>
      </c>
    </row>
    <row r="12" spans="2:6" x14ac:dyDescent="0.3">
      <c r="B12" s="39">
        <v>2</v>
      </c>
      <c r="C12" s="39" t="s">
        <v>984</v>
      </c>
      <c r="D12" s="40">
        <v>3</v>
      </c>
    </row>
    <row r="13" spans="2:6" x14ac:dyDescent="0.3">
      <c r="B13" s="39">
        <v>3</v>
      </c>
      <c r="C13" s="39" t="s">
        <v>985</v>
      </c>
      <c r="D13" s="40">
        <v>3</v>
      </c>
    </row>
    <row r="14" spans="2:6" x14ac:dyDescent="0.3">
      <c r="B14" s="39">
        <v>4</v>
      </c>
      <c r="C14" s="39" t="s">
        <v>986</v>
      </c>
      <c r="D14" s="40">
        <v>5</v>
      </c>
    </row>
    <row r="15" spans="2:6" x14ac:dyDescent="0.3">
      <c r="B15" s="39">
        <v>5</v>
      </c>
      <c r="C15" s="39" t="s">
        <v>987</v>
      </c>
      <c r="D15" s="40">
        <v>3</v>
      </c>
    </row>
    <row r="16" spans="2:6" x14ac:dyDescent="0.3">
      <c r="B16" s="39">
        <v>6</v>
      </c>
      <c r="C16" s="39" t="s">
        <v>988</v>
      </c>
      <c r="D16" s="40">
        <v>3</v>
      </c>
    </row>
    <row r="17" spans="2:6" x14ac:dyDescent="0.3">
      <c r="B17" s="41">
        <v>7</v>
      </c>
      <c r="C17" s="39" t="s">
        <v>989</v>
      </c>
      <c r="D17" s="40">
        <v>3</v>
      </c>
    </row>
    <row r="18" spans="2:6" x14ac:dyDescent="0.3">
      <c r="C18" s="42" t="s">
        <v>150</v>
      </c>
      <c r="D18" s="43">
        <f>SUM(D11:D17)</f>
        <v>23</v>
      </c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171</v>
      </c>
      <c r="D21" s="41" t="s">
        <v>983</v>
      </c>
      <c r="E21" s="41">
        <v>1</v>
      </c>
      <c r="F21" s="41" t="s">
        <v>990</v>
      </c>
    </row>
    <row r="22" spans="2:6" x14ac:dyDescent="0.3">
      <c r="B22" s="41">
        <v>2</v>
      </c>
      <c r="C22" s="41" t="s">
        <v>171</v>
      </c>
      <c r="D22" s="41" t="s">
        <v>983</v>
      </c>
      <c r="E22" s="41">
        <v>2</v>
      </c>
      <c r="F22" s="41" t="s">
        <v>991</v>
      </c>
    </row>
    <row r="23" spans="2:6" x14ac:dyDescent="0.3">
      <c r="B23" s="41">
        <v>3</v>
      </c>
      <c r="C23" s="41" t="s">
        <v>171</v>
      </c>
      <c r="D23" s="41" t="s">
        <v>983</v>
      </c>
      <c r="E23" s="41">
        <v>3</v>
      </c>
      <c r="F23" s="41" t="s">
        <v>992</v>
      </c>
    </row>
    <row r="24" spans="2:6" x14ac:dyDescent="0.3">
      <c r="B24" s="41">
        <v>4</v>
      </c>
      <c r="C24" s="41" t="s">
        <v>171</v>
      </c>
      <c r="D24" s="41" t="s">
        <v>984</v>
      </c>
      <c r="E24" s="41">
        <v>1</v>
      </c>
      <c r="F24" s="41" t="s">
        <v>993</v>
      </c>
    </row>
    <row r="25" spans="2:6" x14ac:dyDescent="0.3">
      <c r="B25" s="41">
        <v>5</v>
      </c>
      <c r="C25" s="41" t="s">
        <v>171</v>
      </c>
      <c r="D25" s="41" t="s">
        <v>984</v>
      </c>
      <c r="E25" s="41">
        <v>2</v>
      </c>
      <c r="F25" s="41" t="s">
        <v>994</v>
      </c>
    </row>
    <row r="26" spans="2:6" x14ac:dyDescent="0.3">
      <c r="B26" s="41">
        <v>6</v>
      </c>
      <c r="C26" s="41" t="s">
        <v>171</v>
      </c>
      <c r="D26" s="41" t="s">
        <v>984</v>
      </c>
      <c r="E26" s="41">
        <v>3</v>
      </c>
      <c r="F26" s="41" t="s">
        <v>995</v>
      </c>
    </row>
    <row r="27" spans="2:6" x14ac:dyDescent="0.3">
      <c r="B27" s="41">
        <v>7</v>
      </c>
      <c r="C27" s="41" t="s">
        <v>171</v>
      </c>
      <c r="D27" s="41" t="s">
        <v>985</v>
      </c>
      <c r="E27" s="41">
        <v>1</v>
      </c>
      <c r="F27" s="41" t="s">
        <v>996</v>
      </c>
    </row>
    <row r="28" spans="2:6" x14ac:dyDescent="0.3">
      <c r="B28" s="41">
        <v>8</v>
      </c>
      <c r="C28" s="41" t="s">
        <v>171</v>
      </c>
      <c r="D28" s="41" t="s">
        <v>985</v>
      </c>
      <c r="E28" s="41">
        <v>2</v>
      </c>
      <c r="F28" s="41" t="s">
        <v>997</v>
      </c>
    </row>
    <row r="29" spans="2:6" x14ac:dyDescent="0.3">
      <c r="B29" s="41">
        <v>9</v>
      </c>
      <c r="C29" s="41" t="s">
        <v>171</v>
      </c>
      <c r="D29" s="41" t="s">
        <v>985</v>
      </c>
      <c r="E29" s="41">
        <v>3</v>
      </c>
      <c r="F29" s="41" t="s">
        <v>998</v>
      </c>
    </row>
    <row r="30" spans="2:6" x14ac:dyDescent="0.3">
      <c r="B30" s="41">
        <v>10</v>
      </c>
      <c r="C30" s="41" t="s">
        <v>171</v>
      </c>
      <c r="D30" s="41" t="s">
        <v>986</v>
      </c>
      <c r="E30" s="41">
        <v>1</v>
      </c>
      <c r="F30" s="41" t="s">
        <v>999</v>
      </c>
    </row>
    <row r="31" spans="2:6" x14ac:dyDescent="0.3">
      <c r="B31" s="41">
        <v>11</v>
      </c>
      <c r="C31" s="41" t="s">
        <v>171</v>
      </c>
      <c r="D31" s="41" t="s">
        <v>986</v>
      </c>
      <c r="E31" s="41">
        <v>2</v>
      </c>
      <c r="F31" s="41" t="s">
        <v>1000</v>
      </c>
    </row>
    <row r="32" spans="2:6" x14ac:dyDescent="0.3">
      <c r="B32" s="41">
        <v>12</v>
      </c>
      <c r="C32" s="41" t="s">
        <v>171</v>
      </c>
      <c r="D32" s="41" t="s">
        <v>986</v>
      </c>
      <c r="E32" s="41">
        <v>3</v>
      </c>
      <c r="F32" s="41" t="s">
        <v>1001</v>
      </c>
    </row>
    <row r="33" spans="2:6" x14ac:dyDescent="0.3">
      <c r="B33" s="41">
        <v>13</v>
      </c>
      <c r="C33" s="41" t="s">
        <v>171</v>
      </c>
      <c r="D33" s="41" t="s">
        <v>986</v>
      </c>
      <c r="E33" s="41">
        <v>4</v>
      </c>
      <c r="F33" s="41" t="s">
        <v>1002</v>
      </c>
    </row>
    <row r="34" spans="2:6" x14ac:dyDescent="0.3">
      <c r="B34" s="41">
        <v>14</v>
      </c>
      <c r="C34" s="41" t="s">
        <v>171</v>
      </c>
      <c r="D34" s="41" t="s">
        <v>986</v>
      </c>
      <c r="E34" s="41">
        <v>5</v>
      </c>
      <c r="F34" s="41" t="s">
        <v>1003</v>
      </c>
    </row>
    <row r="35" spans="2:6" x14ac:dyDescent="0.3">
      <c r="B35" s="41">
        <v>15</v>
      </c>
      <c r="C35" s="41" t="s">
        <v>171</v>
      </c>
      <c r="D35" s="41" t="s">
        <v>987</v>
      </c>
      <c r="E35" s="41">
        <v>1</v>
      </c>
      <c r="F35" s="41" t="s">
        <v>1004</v>
      </c>
    </row>
    <row r="36" spans="2:6" x14ac:dyDescent="0.3">
      <c r="B36" s="41">
        <v>16</v>
      </c>
      <c r="C36" s="41" t="s">
        <v>171</v>
      </c>
      <c r="D36" s="41" t="s">
        <v>987</v>
      </c>
      <c r="E36" s="41">
        <v>2</v>
      </c>
      <c r="F36" s="41" t="s">
        <v>1005</v>
      </c>
    </row>
    <row r="37" spans="2:6" x14ac:dyDescent="0.3">
      <c r="B37" s="41">
        <v>17</v>
      </c>
      <c r="C37" s="41" t="s">
        <v>171</v>
      </c>
      <c r="D37" s="41" t="s">
        <v>987</v>
      </c>
      <c r="E37" s="41">
        <v>3</v>
      </c>
      <c r="F37" s="41" t="s">
        <v>1006</v>
      </c>
    </row>
    <row r="38" spans="2:6" x14ac:dyDescent="0.3">
      <c r="B38" s="41">
        <v>18</v>
      </c>
      <c r="C38" s="41" t="s">
        <v>171</v>
      </c>
      <c r="D38" s="41" t="s">
        <v>988</v>
      </c>
      <c r="E38" s="41">
        <v>1</v>
      </c>
      <c r="F38" s="41" t="s">
        <v>1007</v>
      </c>
    </row>
    <row r="39" spans="2:6" x14ac:dyDescent="0.3">
      <c r="B39" s="41">
        <v>19</v>
      </c>
      <c r="C39" s="41" t="s">
        <v>171</v>
      </c>
      <c r="D39" s="41" t="s">
        <v>988</v>
      </c>
      <c r="E39" s="41">
        <v>2</v>
      </c>
      <c r="F39" s="41" t="s">
        <v>1008</v>
      </c>
    </row>
    <row r="40" spans="2:6" x14ac:dyDescent="0.3">
      <c r="B40" s="41">
        <v>20</v>
      </c>
      <c r="C40" s="41" t="s">
        <v>171</v>
      </c>
      <c r="D40" s="41" t="s">
        <v>988</v>
      </c>
      <c r="E40" s="41">
        <v>3</v>
      </c>
      <c r="F40" s="41" t="s">
        <v>1009</v>
      </c>
    </row>
    <row r="41" spans="2:6" x14ac:dyDescent="0.3">
      <c r="B41" s="41">
        <v>21</v>
      </c>
      <c r="C41" s="41" t="s">
        <v>171</v>
      </c>
      <c r="D41" s="41" t="s">
        <v>989</v>
      </c>
      <c r="E41" s="41">
        <v>1</v>
      </c>
      <c r="F41" s="41" t="s">
        <v>1010</v>
      </c>
    </row>
    <row r="42" spans="2:6" x14ac:dyDescent="0.3">
      <c r="B42" s="41">
        <v>22</v>
      </c>
      <c r="C42" s="41" t="s">
        <v>171</v>
      </c>
      <c r="D42" s="41" t="s">
        <v>989</v>
      </c>
      <c r="E42" s="41">
        <v>2</v>
      </c>
      <c r="F42" s="41" t="s">
        <v>1011</v>
      </c>
    </row>
    <row r="43" spans="2:6" x14ac:dyDescent="0.3">
      <c r="B43" s="41">
        <v>23</v>
      </c>
      <c r="C43" s="41" t="s">
        <v>171</v>
      </c>
      <c r="D43" s="41" t="s">
        <v>989</v>
      </c>
      <c r="E43" s="41">
        <v>3</v>
      </c>
      <c r="F43" s="41" t="s">
        <v>1012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2" tint="-0.249977111117893"/>
    <pageSetUpPr fitToPage="1"/>
  </sheetPr>
  <dimension ref="B2:F32"/>
  <sheetViews>
    <sheetView showGridLines="0" view="pageLayout" topLeftCell="A9" zoomScaleNormal="90" workbookViewId="0">
      <selection activeCell="F14" sqref="F14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thickBot="1" x14ac:dyDescent="0.35">
      <c r="B2" s="245" t="s">
        <v>1013</v>
      </c>
      <c r="C2" s="245"/>
      <c r="D2" s="245"/>
      <c r="E2" s="245"/>
      <c r="F2" s="245"/>
    </row>
    <row r="3" spans="2:6" x14ac:dyDescent="0.3">
      <c r="B3" s="14"/>
      <c r="C3" s="197"/>
      <c r="D3" s="14"/>
      <c r="E3" s="14"/>
      <c r="F3" s="14"/>
    </row>
    <row r="4" spans="2:6" ht="17.25" customHeight="1" x14ac:dyDescent="0.3">
      <c r="B4" s="225" t="s">
        <v>1014</v>
      </c>
      <c r="C4" s="226">
        <v>15</v>
      </c>
    </row>
    <row r="5" spans="2:6" ht="15" customHeight="1" thickBot="1" x14ac:dyDescent="0.35">
      <c r="B5" s="227" t="s">
        <v>288</v>
      </c>
    </row>
    <row r="7" spans="2:6" x14ac:dyDescent="0.3">
      <c r="B7" s="228" t="s">
        <v>289</v>
      </c>
      <c r="C7" s="229">
        <v>5</v>
      </c>
    </row>
    <row r="8" spans="2:6" x14ac:dyDescent="0.3">
      <c r="B8" s="228" t="s">
        <v>147</v>
      </c>
      <c r="C8" s="229">
        <v>10</v>
      </c>
      <c r="E8" s="38" t="s">
        <v>1015</v>
      </c>
    </row>
    <row r="10" spans="2:6" x14ac:dyDescent="0.3">
      <c r="B10" s="241" t="s">
        <v>197</v>
      </c>
      <c r="C10" s="241" t="s">
        <v>215</v>
      </c>
      <c r="D10" s="241" t="s">
        <v>290</v>
      </c>
    </row>
    <row r="11" spans="2:6" x14ac:dyDescent="0.3">
      <c r="B11" s="230">
        <v>1</v>
      </c>
      <c r="C11" s="231" t="s">
        <v>1016</v>
      </c>
      <c r="D11" s="230">
        <v>3</v>
      </c>
    </row>
    <row r="12" spans="2:6" x14ac:dyDescent="0.3">
      <c r="B12" s="230">
        <v>2</v>
      </c>
      <c r="C12" s="231" t="s">
        <v>1017</v>
      </c>
      <c r="D12" s="230">
        <v>5</v>
      </c>
    </row>
    <row r="13" spans="2:6" x14ac:dyDescent="0.3">
      <c r="B13" s="230">
        <v>3</v>
      </c>
      <c r="C13" s="231" t="s">
        <v>1018</v>
      </c>
      <c r="D13" s="230">
        <v>4</v>
      </c>
    </row>
    <row r="14" spans="2:6" x14ac:dyDescent="0.3">
      <c r="B14" s="230">
        <v>4</v>
      </c>
      <c r="C14" s="231" t="s">
        <v>1019</v>
      </c>
      <c r="D14" s="230">
        <v>3</v>
      </c>
    </row>
    <row r="15" spans="2:6" x14ac:dyDescent="0.3">
      <c r="B15" s="232" t="s">
        <v>150</v>
      </c>
      <c r="C15" s="232"/>
      <c r="D15" s="233">
        <f>SUM(D11:D14)</f>
        <v>15</v>
      </c>
    </row>
    <row r="17" spans="2:6" x14ac:dyDescent="0.3">
      <c r="B17" s="7" t="s">
        <v>197</v>
      </c>
      <c r="C17" s="7" t="s">
        <v>151</v>
      </c>
      <c r="D17" s="7" t="s">
        <v>215</v>
      </c>
      <c r="E17" s="7" t="s">
        <v>216</v>
      </c>
      <c r="F17" s="7" t="s">
        <v>217</v>
      </c>
    </row>
    <row r="18" spans="2:6" x14ac:dyDescent="0.3">
      <c r="B18" s="230">
        <v>1</v>
      </c>
      <c r="C18" s="231" t="s">
        <v>172</v>
      </c>
      <c r="D18" s="231" t="s">
        <v>1016</v>
      </c>
      <c r="E18" s="230">
        <v>1</v>
      </c>
      <c r="F18" s="231" t="s">
        <v>1020</v>
      </c>
    </row>
    <row r="19" spans="2:6" x14ac:dyDescent="0.3">
      <c r="B19" s="230">
        <v>2</v>
      </c>
      <c r="C19" s="231" t="s">
        <v>172</v>
      </c>
      <c r="D19" s="231" t="s">
        <v>1016</v>
      </c>
      <c r="E19" s="230">
        <v>2</v>
      </c>
      <c r="F19" s="231" t="s">
        <v>1021</v>
      </c>
    </row>
    <row r="20" spans="2:6" x14ac:dyDescent="0.3">
      <c r="B20" s="230">
        <v>3</v>
      </c>
      <c r="C20" s="231" t="s">
        <v>172</v>
      </c>
      <c r="D20" s="231" t="s">
        <v>1016</v>
      </c>
      <c r="E20" s="230">
        <v>3</v>
      </c>
      <c r="F20" s="231" t="s">
        <v>1022</v>
      </c>
    </row>
    <row r="21" spans="2:6" x14ac:dyDescent="0.3">
      <c r="B21" s="230">
        <v>4</v>
      </c>
      <c r="C21" s="231" t="s">
        <v>172</v>
      </c>
      <c r="D21" s="231" t="s">
        <v>1017</v>
      </c>
      <c r="E21" s="230">
        <v>1</v>
      </c>
      <c r="F21" s="231" t="s">
        <v>1023</v>
      </c>
    </row>
    <row r="22" spans="2:6" x14ac:dyDescent="0.3">
      <c r="B22" s="230">
        <v>5</v>
      </c>
      <c r="C22" s="231" t="s">
        <v>172</v>
      </c>
      <c r="D22" s="231" t="s">
        <v>1017</v>
      </c>
      <c r="E22" s="230">
        <v>2</v>
      </c>
      <c r="F22" s="231" t="s">
        <v>1024</v>
      </c>
    </row>
    <row r="23" spans="2:6" x14ac:dyDescent="0.3">
      <c r="B23" s="230">
        <v>6</v>
      </c>
      <c r="C23" s="231" t="s">
        <v>172</v>
      </c>
      <c r="D23" s="231" t="s">
        <v>1017</v>
      </c>
      <c r="E23" s="230">
        <v>3</v>
      </c>
      <c r="F23" s="231" t="s">
        <v>1025</v>
      </c>
    </row>
    <row r="24" spans="2:6" x14ac:dyDescent="0.3">
      <c r="B24" s="230">
        <v>7</v>
      </c>
      <c r="C24" s="231" t="s">
        <v>172</v>
      </c>
      <c r="D24" s="231" t="s">
        <v>1017</v>
      </c>
      <c r="E24" s="230">
        <v>4</v>
      </c>
      <c r="F24" s="231" t="s">
        <v>1026</v>
      </c>
    </row>
    <row r="25" spans="2:6" x14ac:dyDescent="0.3">
      <c r="B25" s="230">
        <v>8</v>
      </c>
      <c r="C25" s="231" t="s">
        <v>172</v>
      </c>
      <c r="D25" s="231" t="s">
        <v>1017</v>
      </c>
      <c r="E25" s="230">
        <v>5</v>
      </c>
      <c r="F25" s="231" t="s">
        <v>1027</v>
      </c>
    </row>
    <row r="26" spans="2:6" x14ac:dyDescent="0.3">
      <c r="B26" s="230">
        <v>9</v>
      </c>
      <c r="C26" s="231" t="s">
        <v>172</v>
      </c>
      <c r="D26" s="231" t="s">
        <v>1018</v>
      </c>
      <c r="E26" s="230">
        <v>1</v>
      </c>
      <c r="F26" s="231" t="s">
        <v>1028</v>
      </c>
    </row>
    <row r="27" spans="2:6" x14ac:dyDescent="0.3">
      <c r="B27" s="230">
        <v>10</v>
      </c>
      <c r="C27" s="231" t="s">
        <v>172</v>
      </c>
      <c r="D27" s="231" t="s">
        <v>1018</v>
      </c>
      <c r="E27" s="230">
        <v>2</v>
      </c>
      <c r="F27" s="231" t="s">
        <v>1029</v>
      </c>
    </row>
    <row r="28" spans="2:6" x14ac:dyDescent="0.3">
      <c r="B28" s="230">
        <v>11</v>
      </c>
      <c r="C28" s="231" t="s">
        <v>172</v>
      </c>
      <c r="D28" s="231" t="s">
        <v>1018</v>
      </c>
      <c r="E28" s="230">
        <v>3</v>
      </c>
      <c r="F28" s="231" t="s">
        <v>1030</v>
      </c>
    </row>
    <row r="29" spans="2:6" x14ac:dyDescent="0.3">
      <c r="B29" s="230">
        <v>12</v>
      </c>
      <c r="C29" s="231" t="s">
        <v>172</v>
      </c>
      <c r="D29" s="231" t="s">
        <v>1018</v>
      </c>
      <c r="E29" s="230">
        <v>4</v>
      </c>
      <c r="F29" s="231" t="s">
        <v>1031</v>
      </c>
    </row>
    <row r="30" spans="2:6" x14ac:dyDescent="0.3">
      <c r="B30" s="230">
        <v>13</v>
      </c>
      <c r="C30" s="231" t="s">
        <v>172</v>
      </c>
      <c r="D30" s="231" t="s">
        <v>1019</v>
      </c>
      <c r="E30" s="230">
        <v>1</v>
      </c>
      <c r="F30" s="231" t="s">
        <v>1032</v>
      </c>
    </row>
    <row r="31" spans="2:6" x14ac:dyDescent="0.3">
      <c r="B31" s="230">
        <v>14</v>
      </c>
      <c r="C31" s="231" t="s">
        <v>172</v>
      </c>
      <c r="D31" s="231" t="s">
        <v>1019</v>
      </c>
      <c r="E31" s="230">
        <v>2</v>
      </c>
      <c r="F31" s="231" t="s">
        <v>1033</v>
      </c>
    </row>
    <row r="32" spans="2:6" x14ac:dyDescent="0.3">
      <c r="B32" s="230">
        <v>15</v>
      </c>
      <c r="C32" s="231" t="s">
        <v>172</v>
      </c>
      <c r="D32" s="231" t="s">
        <v>1019</v>
      </c>
      <c r="E32" s="230">
        <v>3</v>
      </c>
      <c r="F32" s="231" t="s">
        <v>1034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2" tint="-0.249977111117893"/>
    <pageSetUpPr fitToPage="1"/>
  </sheetPr>
  <dimension ref="B2:F75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2" max="2" width="34" customWidth="1"/>
    <col min="3" max="3" width="26.44140625" customWidth="1"/>
    <col min="6" max="6" width="16.5546875" customWidth="1"/>
  </cols>
  <sheetData>
    <row r="2" spans="2:5" ht="23.25" customHeight="1" x14ac:dyDescent="0.45">
      <c r="B2" s="99" t="s">
        <v>1035</v>
      </c>
    </row>
    <row r="3" spans="2:5" x14ac:dyDescent="0.3">
      <c r="C3" s="199"/>
    </row>
    <row r="4" spans="2:5" ht="17.25" customHeight="1" x14ac:dyDescent="0.35">
      <c r="B4" s="100" t="s">
        <v>1036</v>
      </c>
      <c r="C4" s="22">
        <v>47</v>
      </c>
    </row>
    <row r="5" spans="2:5" ht="15" customHeight="1" x14ac:dyDescent="0.3">
      <c r="B5" s="101" t="s">
        <v>288</v>
      </c>
    </row>
    <row r="7" spans="2:5" x14ac:dyDescent="0.3">
      <c r="B7" s="102" t="s">
        <v>289</v>
      </c>
      <c r="C7" s="57">
        <v>6</v>
      </c>
    </row>
    <row r="8" spans="2:5" x14ac:dyDescent="0.3">
      <c r="B8" s="102" t="s">
        <v>147</v>
      </c>
      <c r="C8" s="57">
        <v>38</v>
      </c>
      <c r="E8" s="58" t="s">
        <v>1037</v>
      </c>
    </row>
    <row r="9" spans="2:5" x14ac:dyDescent="0.3">
      <c r="B9" s="102" t="s">
        <v>148</v>
      </c>
      <c r="C9" s="57">
        <v>7</v>
      </c>
      <c r="E9" s="58" t="s">
        <v>1038</v>
      </c>
    </row>
    <row r="11" spans="2:5" x14ac:dyDescent="0.3">
      <c r="B11" s="11" t="s">
        <v>197</v>
      </c>
      <c r="C11" s="11" t="s">
        <v>215</v>
      </c>
      <c r="D11" s="7" t="s">
        <v>290</v>
      </c>
    </row>
    <row r="12" spans="2:5" x14ac:dyDescent="0.3">
      <c r="B12" s="18">
        <v>1</v>
      </c>
      <c r="C12" s="18" t="s">
        <v>1039</v>
      </c>
      <c r="D12" s="9">
        <v>2</v>
      </c>
    </row>
    <row r="13" spans="2:5" x14ac:dyDescent="0.3">
      <c r="B13" s="18">
        <v>2</v>
      </c>
      <c r="C13" s="18" t="s">
        <v>1040</v>
      </c>
      <c r="D13" s="9">
        <v>5</v>
      </c>
    </row>
    <row r="14" spans="2:5" x14ac:dyDescent="0.3">
      <c r="B14" s="18">
        <v>3</v>
      </c>
      <c r="C14" s="18" t="s">
        <v>1041</v>
      </c>
      <c r="D14" s="9">
        <v>4</v>
      </c>
    </row>
    <row r="15" spans="2:5" x14ac:dyDescent="0.3">
      <c r="B15" s="18">
        <v>4</v>
      </c>
      <c r="C15" s="18" t="s">
        <v>1042</v>
      </c>
      <c r="D15" s="9">
        <v>3</v>
      </c>
    </row>
    <row r="16" spans="2:5" x14ac:dyDescent="0.3">
      <c r="B16" s="18">
        <v>5</v>
      </c>
      <c r="C16" s="18" t="s">
        <v>1043</v>
      </c>
      <c r="D16" s="9">
        <v>2</v>
      </c>
    </row>
    <row r="17" spans="2:6" x14ac:dyDescent="0.3">
      <c r="B17" s="18">
        <v>6</v>
      </c>
      <c r="C17" s="18" t="s">
        <v>1044</v>
      </c>
      <c r="D17" s="9">
        <v>6</v>
      </c>
    </row>
    <row r="18" spans="2:6" x14ac:dyDescent="0.3">
      <c r="B18" s="18">
        <v>7</v>
      </c>
      <c r="C18" s="18" t="s">
        <v>1045</v>
      </c>
      <c r="D18" s="9">
        <v>3</v>
      </c>
    </row>
    <row r="19" spans="2:6" x14ac:dyDescent="0.3">
      <c r="B19" s="18">
        <v>8</v>
      </c>
      <c r="C19" s="18" t="s">
        <v>1046</v>
      </c>
      <c r="D19" s="9">
        <v>4</v>
      </c>
    </row>
    <row r="20" spans="2:6" x14ac:dyDescent="0.3">
      <c r="B20" s="18">
        <v>9</v>
      </c>
      <c r="C20" s="18" t="s">
        <v>1047</v>
      </c>
      <c r="D20" s="9">
        <v>3</v>
      </c>
    </row>
    <row r="21" spans="2:6" x14ac:dyDescent="0.3">
      <c r="B21" s="18">
        <v>10</v>
      </c>
      <c r="C21" s="18" t="s">
        <v>1048</v>
      </c>
      <c r="D21" s="9">
        <v>3</v>
      </c>
    </row>
    <row r="22" spans="2:6" x14ac:dyDescent="0.3">
      <c r="B22" s="18">
        <v>11</v>
      </c>
      <c r="C22" s="18" t="s">
        <v>1049</v>
      </c>
      <c r="D22" s="9">
        <v>2</v>
      </c>
    </row>
    <row r="23" spans="2:6" x14ac:dyDescent="0.3">
      <c r="B23" s="18">
        <v>12</v>
      </c>
      <c r="C23" s="18" t="s">
        <v>1050</v>
      </c>
      <c r="D23" s="9">
        <v>3</v>
      </c>
    </row>
    <row r="24" spans="2:6" x14ac:dyDescent="0.3">
      <c r="B24" s="18">
        <v>13</v>
      </c>
      <c r="C24" s="18" t="s">
        <v>1051</v>
      </c>
      <c r="D24" s="9">
        <v>4</v>
      </c>
    </row>
    <row r="25" spans="2:6" x14ac:dyDescent="0.3">
      <c r="B25" s="16">
        <v>14</v>
      </c>
      <c r="C25" s="18" t="s">
        <v>1052</v>
      </c>
      <c r="D25" s="9">
        <v>3</v>
      </c>
    </row>
    <row r="26" spans="2:6" x14ac:dyDescent="0.3">
      <c r="C26" s="109" t="s">
        <v>150</v>
      </c>
      <c r="D26" s="10">
        <f>SUM(D12:D25)</f>
        <v>47</v>
      </c>
    </row>
    <row r="28" spans="2:6" x14ac:dyDescent="0.3">
      <c r="B28" s="11" t="s">
        <v>197</v>
      </c>
      <c r="C28" s="11" t="s">
        <v>151</v>
      </c>
      <c r="D28" s="11" t="s">
        <v>215</v>
      </c>
      <c r="E28" s="11" t="s">
        <v>216</v>
      </c>
      <c r="F28" s="7" t="s">
        <v>217</v>
      </c>
    </row>
    <row r="29" spans="2:6" x14ac:dyDescent="0.3">
      <c r="B29" s="41">
        <v>1</v>
      </c>
      <c r="C29" s="41" t="s">
        <v>173</v>
      </c>
      <c r="D29" s="41" t="s">
        <v>1039</v>
      </c>
      <c r="E29" s="41">
        <v>1</v>
      </c>
      <c r="F29" s="41" t="s">
        <v>1053</v>
      </c>
    </row>
    <row r="30" spans="2:6" x14ac:dyDescent="0.3">
      <c r="B30" s="41">
        <v>2</v>
      </c>
      <c r="C30" s="41" t="s">
        <v>173</v>
      </c>
      <c r="D30" s="41" t="s">
        <v>1039</v>
      </c>
      <c r="E30" s="41">
        <v>2</v>
      </c>
      <c r="F30" s="41" t="s">
        <v>1054</v>
      </c>
    </row>
    <row r="31" spans="2:6" x14ac:dyDescent="0.3">
      <c r="B31" s="41">
        <v>3</v>
      </c>
      <c r="C31" s="41" t="s">
        <v>173</v>
      </c>
      <c r="D31" s="41" t="s">
        <v>1040</v>
      </c>
      <c r="E31" s="41">
        <v>1</v>
      </c>
      <c r="F31" s="41" t="s">
        <v>1055</v>
      </c>
    </row>
    <row r="32" spans="2:6" x14ac:dyDescent="0.3">
      <c r="B32" s="41">
        <v>4</v>
      </c>
      <c r="C32" s="41" t="s">
        <v>173</v>
      </c>
      <c r="D32" s="41" t="s">
        <v>1040</v>
      </c>
      <c r="E32" s="41">
        <v>2</v>
      </c>
      <c r="F32" s="41" t="s">
        <v>1056</v>
      </c>
    </row>
    <row r="33" spans="2:6" x14ac:dyDescent="0.3">
      <c r="B33" s="41">
        <v>5</v>
      </c>
      <c r="C33" s="41" t="s">
        <v>173</v>
      </c>
      <c r="D33" s="41" t="s">
        <v>1040</v>
      </c>
      <c r="E33" s="41">
        <v>3</v>
      </c>
      <c r="F33" s="41" t="s">
        <v>1057</v>
      </c>
    </row>
    <row r="34" spans="2:6" x14ac:dyDescent="0.3">
      <c r="B34" s="41">
        <v>6</v>
      </c>
      <c r="C34" s="41" t="s">
        <v>173</v>
      </c>
      <c r="D34" s="41" t="s">
        <v>1040</v>
      </c>
      <c r="E34" s="41">
        <v>4</v>
      </c>
      <c r="F34" s="41" t="s">
        <v>1058</v>
      </c>
    </row>
    <row r="35" spans="2:6" x14ac:dyDescent="0.3">
      <c r="B35" s="41">
        <v>7</v>
      </c>
      <c r="C35" s="41" t="s">
        <v>173</v>
      </c>
      <c r="D35" s="41" t="s">
        <v>1040</v>
      </c>
      <c r="E35" s="41">
        <v>5</v>
      </c>
      <c r="F35" s="41" t="s">
        <v>1059</v>
      </c>
    </row>
    <row r="36" spans="2:6" x14ac:dyDescent="0.3">
      <c r="B36" s="41">
        <v>8</v>
      </c>
      <c r="C36" s="41" t="s">
        <v>173</v>
      </c>
      <c r="D36" s="41" t="s">
        <v>1041</v>
      </c>
      <c r="E36" s="41">
        <v>1</v>
      </c>
      <c r="F36" s="41" t="s">
        <v>1060</v>
      </c>
    </row>
    <row r="37" spans="2:6" x14ac:dyDescent="0.3">
      <c r="B37" s="41">
        <v>9</v>
      </c>
      <c r="C37" s="41" t="s">
        <v>173</v>
      </c>
      <c r="D37" s="41" t="s">
        <v>1041</v>
      </c>
      <c r="E37" s="41">
        <v>2</v>
      </c>
      <c r="F37" s="41" t="s">
        <v>1061</v>
      </c>
    </row>
    <row r="38" spans="2:6" x14ac:dyDescent="0.3">
      <c r="B38" s="41">
        <v>10</v>
      </c>
      <c r="C38" s="41" t="s">
        <v>173</v>
      </c>
      <c r="D38" s="41" t="s">
        <v>1041</v>
      </c>
      <c r="E38" s="41">
        <v>3</v>
      </c>
      <c r="F38" s="41" t="s">
        <v>1062</v>
      </c>
    </row>
    <row r="39" spans="2:6" x14ac:dyDescent="0.3">
      <c r="B39" s="41">
        <v>11</v>
      </c>
      <c r="C39" s="41" t="s">
        <v>173</v>
      </c>
      <c r="D39" s="41" t="s">
        <v>1041</v>
      </c>
      <c r="E39" s="41">
        <v>4</v>
      </c>
      <c r="F39" s="41" t="s">
        <v>1063</v>
      </c>
    </row>
    <row r="40" spans="2:6" x14ac:dyDescent="0.3">
      <c r="B40" s="41">
        <v>12</v>
      </c>
      <c r="C40" s="41" t="s">
        <v>173</v>
      </c>
      <c r="D40" s="41" t="s">
        <v>1042</v>
      </c>
      <c r="E40" s="41">
        <v>1</v>
      </c>
      <c r="F40" s="41" t="s">
        <v>1064</v>
      </c>
    </row>
    <row r="41" spans="2:6" x14ac:dyDescent="0.3">
      <c r="B41" s="41">
        <v>13</v>
      </c>
      <c r="C41" s="41" t="s">
        <v>173</v>
      </c>
      <c r="D41" s="41" t="s">
        <v>1042</v>
      </c>
      <c r="E41" s="41">
        <v>2</v>
      </c>
      <c r="F41" s="41" t="s">
        <v>1065</v>
      </c>
    </row>
    <row r="42" spans="2:6" x14ac:dyDescent="0.3">
      <c r="B42" s="41">
        <v>14</v>
      </c>
      <c r="C42" s="41" t="s">
        <v>173</v>
      </c>
      <c r="D42" s="41" t="s">
        <v>1042</v>
      </c>
      <c r="E42" s="41">
        <v>3</v>
      </c>
      <c r="F42" s="41" t="s">
        <v>1066</v>
      </c>
    </row>
    <row r="43" spans="2:6" x14ac:dyDescent="0.3">
      <c r="B43" s="41">
        <v>15</v>
      </c>
      <c r="C43" s="41" t="s">
        <v>173</v>
      </c>
      <c r="D43" s="41" t="s">
        <v>1043</v>
      </c>
      <c r="E43" s="41">
        <v>1</v>
      </c>
      <c r="F43" s="41" t="s">
        <v>1067</v>
      </c>
    </row>
    <row r="44" spans="2:6" x14ac:dyDescent="0.3">
      <c r="B44" s="41">
        <v>16</v>
      </c>
      <c r="C44" s="41" t="s">
        <v>173</v>
      </c>
      <c r="D44" s="41" t="s">
        <v>1043</v>
      </c>
      <c r="E44" s="41">
        <v>2</v>
      </c>
      <c r="F44" s="41" t="s">
        <v>1068</v>
      </c>
    </row>
    <row r="45" spans="2:6" x14ac:dyDescent="0.3">
      <c r="B45" s="41">
        <v>17</v>
      </c>
      <c r="C45" s="41" t="s">
        <v>173</v>
      </c>
      <c r="D45" s="41" t="s">
        <v>1044</v>
      </c>
      <c r="E45" s="41">
        <v>1</v>
      </c>
      <c r="F45" s="41" t="s">
        <v>1069</v>
      </c>
    </row>
    <row r="46" spans="2:6" x14ac:dyDescent="0.3">
      <c r="B46" s="41">
        <v>18</v>
      </c>
      <c r="C46" s="41" t="s">
        <v>173</v>
      </c>
      <c r="D46" s="41" t="s">
        <v>1044</v>
      </c>
      <c r="E46" s="41">
        <v>2</v>
      </c>
      <c r="F46" s="41" t="s">
        <v>1070</v>
      </c>
    </row>
    <row r="47" spans="2:6" x14ac:dyDescent="0.3">
      <c r="B47" s="41">
        <v>19</v>
      </c>
      <c r="C47" s="41" t="s">
        <v>173</v>
      </c>
      <c r="D47" s="41" t="s">
        <v>1044</v>
      </c>
      <c r="E47" s="41">
        <v>3</v>
      </c>
      <c r="F47" s="41" t="s">
        <v>1071</v>
      </c>
    </row>
    <row r="48" spans="2:6" x14ac:dyDescent="0.3">
      <c r="B48" s="41">
        <v>20</v>
      </c>
      <c r="C48" s="41" t="s">
        <v>173</v>
      </c>
      <c r="D48" s="41" t="s">
        <v>1044</v>
      </c>
      <c r="E48" s="41">
        <v>4</v>
      </c>
      <c r="F48" s="41" t="s">
        <v>1072</v>
      </c>
    </row>
    <row r="49" spans="2:6" x14ac:dyDescent="0.3">
      <c r="B49" s="41">
        <v>21</v>
      </c>
      <c r="C49" s="41" t="s">
        <v>173</v>
      </c>
      <c r="D49" s="41" t="s">
        <v>1044</v>
      </c>
      <c r="E49" s="41">
        <v>5</v>
      </c>
      <c r="F49" s="41" t="s">
        <v>1073</v>
      </c>
    </row>
    <row r="50" spans="2:6" x14ac:dyDescent="0.3">
      <c r="B50" s="41">
        <v>22</v>
      </c>
      <c r="C50" s="41" t="s">
        <v>173</v>
      </c>
      <c r="D50" s="41" t="s">
        <v>1044</v>
      </c>
      <c r="E50" s="41">
        <v>6</v>
      </c>
      <c r="F50" s="41" t="s">
        <v>1074</v>
      </c>
    </row>
    <row r="51" spans="2:6" x14ac:dyDescent="0.3">
      <c r="B51" s="41">
        <v>23</v>
      </c>
      <c r="C51" s="41" t="s">
        <v>173</v>
      </c>
      <c r="D51" s="41" t="s">
        <v>1045</v>
      </c>
      <c r="E51" s="41">
        <v>1</v>
      </c>
      <c r="F51" s="41" t="s">
        <v>1075</v>
      </c>
    </row>
    <row r="52" spans="2:6" x14ac:dyDescent="0.3">
      <c r="B52" s="41">
        <v>24</v>
      </c>
      <c r="C52" s="41" t="s">
        <v>173</v>
      </c>
      <c r="D52" s="41" t="s">
        <v>1045</v>
      </c>
      <c r="E52" s="41">
        <v>2</v>
      </c>
      <c r="F52" s="41" t="s">
        <v>1076</v>
      </c>
    </row>
    <row r="53" spans="2:6" x14ac:dyDescent="0.3">
      <c r="B53" s="41">
        <v>25</v>
      </c>
      <c r="C53" s="41" t="s">
        <v>173</v>
      </c>
      <c r="D53" s="41" t="s">
        <v>1045</v>
      </c>
      <c r="E53" s="41">
        <v>3</v>
      </c>
      <c r="F53" s="41" t="s">
        <v>1077</v>
      </c>
    </row>
    <row r="54" spans="2:6" x14ac:dyDescent="0.3">
      <c r="B54" s="41">
        <v>26</v>
      </c>
      <c r="C54" s="41" t="s">
        <v>173</v>
      </c>
      <c r="D54" s="41" t="s">
        <v>1046</v>
      </c>
      <c r="E54" s="41">
        <v>1</v>
      </c>
      <c r="F54" s="41" t="s">
        <v>1078</v>
      </c>
    </row>
    <row r="55" spans="2:6" x14ac:dyDescent="0.3">
      <c r="B55" s="41">
        <v>27</v>
      </c>
      <c r="C55" s="41" t="s">
        <v>173</v>
      </c>
      <c r="D55" s="41" t="s">
        <v>1046</v>
      </c>
      <c r="E55" s="41">
        <v>2</v>
      </c>
      <c r="F55" s="41" t="s">
        <v>1079</v>
      </c>
    </row>
    <row r="56" spans="2:6" x14ac:dyDescent="0.3">
      <c r="B56" s="41">
        <v>28</v>
      </c>
      <c r="C56" s="41" t="s">
        <v>173</v>
      </c>
      <c r="D56" s="41" t="s">
        <v>1046</v>
      </c>
      <c r="E56" s="41">
        <v>3</v>
      </c>
      <c r="F56" s="41" t="s">
        <v>1080</v>
      </c>
    </row>
    <row r="57" spans="2:6" x14ac:dyDescent="0.3">
      <c r="B57" s="41">
        <v>29</v>
      </c>
      <c r="C57" s="41" t="s">
        <v>173</v>
      </c>
      <c r="D57" s="41" t="s">
        <v>1046</v>
      </c>
      <c r="E57" s="41">
        <v>4</v>
      </c>
      <c r="F57" s="41" t="s">
        <v>1081</v>
      </c>
    </row>
    <row r="58" spans="2:6" x14ac:dyDescent="0.3">
      <c r="B58" s="41">
        <v>30</v>
      </c>
      <c r="C58" s="41" t="s">
        <v>173</v>
      </c>
      <c r="D58" s="41" t="s">
        <v>1047</v>
      </c>
      <c r="E58" s="41">
        <v>1</v>
      </c>
      <c r="F58" s="41" t="s">
        <v>1082</v>
      </c>
    </row>
    <row r="59" spans="2:6" x14ac:dyDescent="0.3">
      <c r="B59" s="41">
        <v>31</v>
      </c>
      <c r="C59" s="41" t="s">
        <v>173</v>
      </c>
      <c r="D59" s="41" t="s">
        <v>1047</v>
      </c>
      <c r="E59" s="41">
        <v>2</v>
      </c>
      <c r="F59" s="41" t="s">
        <v>1083</v>
      </c>
    </row>
    <row r="60" spans="2:6" x14ac:dyDescent="0.3">
      <c r="B60" s="41">
        <v>32</v>
      </c>
      <c r="C60" s="41" t="s">
        <v>173</v>
      </c>
      <c r="D60" s="41" t="s">
        <v>1047</v>
      </c>
      <c r="E60" s="41">
        <v>3</v>
      </c>
      <c r="F60" s="41" t="s">
        <v>1084</v>
      </c>
    </row>
    <row r="61" spans="2:6" x14ac:dyDescent="0.3">
      <c r="B61" s="41">
        <v>33</v>
      </c>
      <c r="C61" s="41" t="s">
        <v>173</v>
      </c>
      <c r="D61" s="41" t="s">
        <v>1048</v>
      </c>
      <c r="E61" s="41">
        <v>1</v>
      </c>
      <c r="F61" s="41" t="s">
        <v>1085</v>
      </c>
    </row>
    <row r="62" spans="2:6" x14ac:dyDescent="0.3">
      <c r="B62" s="41">
        <v>34</v>
      </c>
      <c r="C62" s="41" t="s">
        <v>173</v>
      </c>
      <c r="D62" s="41" t="s">
        <v>1048</v>
      </c>
      <c r="E62" s="41">
        <v>2</v>
      </c>
      <c r="F62" s="41" t="s">
        <v>1086</v>
      </c>
    </row>
    <row r="63" spans="2:6" x14ac:dyDescent="0.3">
      <c r="B63" s="41">
        <v>35</v>
      </c>
      <c r="C63" s="41" t="s">
        <v>173</v>
      </c>
      <c r="D63" s="41" t="s">
        <v>1048</v>
      </c>
      <c r="E63" s="41">
        <v>3</v>
      </c>
      <c r="F63" s="41" t="s">
        <v>1087</v>
      </c>
    </row>
    <row r="64" spans="2:6" x14ac:dyDescent="0.3">
      <c r="B64" s="41">
        <v>36</v>
      </c>
      <c r="C64" s="41" t="s">
        <v>173</v>
      </c>
      <c r="D64" s="41" t="s">
        <v>1049</v>
      </c>
      <c r="E64" s="41">
        <v>1</v>
      </c>
      <c r="F64" s="41" t="s">
        <v>1088</v>
      </c>
    </row>
    <row r="65" spans="2:6" x14ac:dyDescent="0.3">
      <c r="B65" s="41">
        <v>37</v>
      </c>
      <c r="C65" s="41" t="s">
        <v>173</v>
      </c>
      <c r="D65" s="41" t="s">
        <v>1049</v>
      </c>
      <c r="E65" s="41">
        <v>2</v>
      </c>
      <c r="F65" s="41" t="s">
        <v>1089</v>
      </c>
    </row>
    <row r="66" spans="2:6" x14ac:dyDescent="0.3">
      <c r="B66" s="41">
        <v>38</v>
      </c>
      <c r="C66" s="41" t="s">
        <v>173</v>
      </c>
      <c r="D66" s="41" t="s">
        <v>1050</v>
      </c>
      <c r="E66" s="41">
        <v>1</v>
      </c>
      <c r="F66" s="41" t="s">
        <v>1090</v>
      </c>
    </row>
    <row r="67" spans="2:6" x14ac:dyDescent="0.3">
      <c r="B67" s="41">
        <v>39</v>
      </c>
      <c r="C67" s="41" t="s">
        <v>173</v>
      </c>
      <c r="D67" s="41" t="s">
        <v>1050</v>
      </c>
      <c r="E67" s="41">
        <v>2</v>
      </c>
      <c r="F67" s="41" t="s">
        <v>1091</v>
      </c>
    </row>
    <row r="68" spans="2:6" x14ac:dyDescent="0.3">
      <c r="B68" s="41">
        <v>40</v>
      </c>
      <c r="C68" s="41" t="s">
        <v>173</v>
      </c>
      <c r="D68" s="41" t="s">
        <v>1050</v>
      </c>
      <c r="E68" s="41">
        <v>3</v>
      </c>
      <c r="F68" s="41" t="s">
        <v>1092</v>
      </c>
    </row>
    <row r="69" spans="2:6" x14ac:dyDescent="0.3">
      <c r="B69" s="41">
        <v>41</v>
      </c>
      <c r="C69" s="41" t="s">
        <v>173</v>
      </c>
      <c r="D69" s="41" t="s">
        <v>1051</v>
      </c>
      <c r="E69" s="41">
        <v>1</v>
      </c>
      <c r="F69" s="41" t="s">
        <v>1093</v>
      </c>
    </row>
    <row r="70" spans="2:6" x14ac:dyDescent="0.3">
      <c r="B70" s="41">
        <v>42</v>
      </c>
      <c r="C70" s="41" t="s">
        <v>173</v>
      </c>
      <c r="D70" s="41" t="s">
        <v>1051</v>
      </c>
      <c r="E70" s="41">
        <v>2</v>
      </c>
      <c r="F70" s="41" t="s">
        <v>1094</v>
      </c>
    </row>
    <row r="71" spans="2:6" x14ac:dyDescent="0.3">
      <c r="B71" s="41">
        <v>43</v>
      </c>
      <c r="C71" s="41" t="s">
        <v>173</v>
      </c>
      <c r="D71" s="41" t="s">
        <v>1051</v>
      </c>
      <c r="E71" s="41">
        <v>3</v>
      </c>
      <c r="F71" s="41" t="s">
        <v>1095</v>
      </c>
    </row>
    <row r="72" spans="2:6" x14ac:dyDescent="0.3">
      <c r="B72" s="41">
        <v>44</v>
      </c>
      <c r="C72" s="41" t="s">
        <v>173</v>
      </c>
      <c r="D72" s="41" t="s">
        <v>1051</v>
      </c>
      <c r="E72" s="41">
        <v>4</v>
      </c>
      <c r="F72" s="41" t="s">
        <v>1096</v>
      </c>
    </row>
    <row r="73" spans="2:6" x14ac:dyDescent="0.3">
      <c r="B73" s="41">
        <v>45</v>
      </c>
      <c r="C73" s="41" t="s">
        <v>173</v>
      </c>
      <c r="D73" s="41" t="s">
        <v>1052</v>
      </c>
      <c r="E73" s="41">
        <v>1</v>
      </c>
      <c r="F73" s="41" t="s">
        <v>1097</v>
      </c>
    </row>
    <row r="74" spans="2:6" x14ac:dyDescent="0.3">
      <c r="B74" s="41">
        <v>46</v>
      </c>
      <c r="C74" s="41" t="s">
        <v>173</v>
      </c>
      <c r="D74" s="41" t="s">
        <v>1052</v>
      </c>
      <c r="E74" s="41">
        <v>2</v>
      </c>
      <c r="F74" s="41" t="s">
        <v>1098</v>
      </c>
    </row>
    <row r="75" spans="2:6" x14ac:dyDescent="0.3">
      <c r="B75" s="41">
        <v>47</v>
      </c>
      <c r="C75" s="41" t="s">
        <v>173</v>
      </c>
      <c r="D75" s="41" t="s">
        <v>1052</v>
      </c>
      <c r="E75" s="41">
        <v>3</v>
      </c>
      <c r="F75" s="41" t="s">
        <v>1099</v>
      </c>
    </row>
  </sheetData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2" tint="-0.249977111117893"/>
    <pageSetUpPr fitToPage="1"/>
  </sheetPr>
  <dimension ref="B2:F81"/>
  <sheetViews>
    <sheetView showGridLines="0" view="pageLayout" topLeftCell="A31" zoomScaleNormal="90" workbookViewId="0">
      <selection activeCell="C39" sqref="C39"/>
    </sheetView>
  </sheetViews>
  <sheetFormatPr defaultColWidth="8.33203125" defaultRowHeight="14.4" x14ac:dyDescent="0.3"/>
  <cols>
    <col min="2" max="2" width="28.6640625" customWidth="1"/>
    <col min="3" max="3" width="22.44140625" customWidth="1"/>
    <col min="4" max="4" width="44.5546875" customWidth="1"/>
    <col min="5" max="5" width="11.44140625" customWidth="1"/>
    <col min="6" max="6" width="15.109375" customWidth="1"/>
  </cols>
  <sheetData>
    <row r="2" spans="2:6" ht="23.25" customHeight="1" thickBot="1" x14ac:dyDescent="0.35">
      <c r="B2" s="245" t="s">
        <v>1100</v>
      </c>
      <c r="C2" s="245"/>
      <c r="D2" s="245"/>
      <c r="E2" s="245"/>
      <c r="F2" s="245"/>
    </row>
    <row r="3" spans="2:6" x14ac:dyDescent="0.3">
      <c r="B3" s="14"/>
      <c r="C3" s="197"/>
      <c r="D3" s="14"/>
      <c r="E3" s="14"/>
      <c r="F3" s="14"/>
    </row>
    <row r="4" spans="2:6" ht="17.25" customHeight="1" x14ac:dyDescent="0.3">
      <c r="B4" s="225" t="s">
        <v>1101</v>
      </c>
      <c r="C4" s="226">
        <v>50</v>
      </c>
    </row>
    <row r="5" spans="2:6" ht="15" customHeight="1" thickBot="1" x14ac:dyDescent="0.35">
      <c r="B5" s="227" t="s">
        <v>288</v>
      </c>
    </row>
    <row r="7" spans="2:6" x14ac:dyDescent="0.3">
      <c r="B7" s="228" t="s">
        <v>289</v>
      </c>
      <c r="C7" s="229">
        <v>5</v>
      </c>
    </row>
    <row r="8" spans="2:6" x14ac:dyDescent="0.3">
      <c r="B8" s="228" t="s">
        <v>147</v>
      </c>
      <c r="C8" s="229">
        <v>45</v>
      </c>
      <c r="D8" s="38"/>
    </row>
    <row r="10" spans="2:6" x14ac:dyDescent="0.3">
      <c r="B10" s="216" t="s">
        <v>197</v>
      </c>
      <c r="C10" s="217" t="s">
        <v>215</v>
      </c>
      <c r="D10" s="218" t="s">
        <v>290</v>
      </c>
    </row>
    <row r="11" spans="2:6" x14ac:dyDescent="0.3">
      <c r="B11" s="230">
        <v>1</v>
      </c>
      <c r="C11" s="231" t="s">
        <v>1102</v>
      </c>
      <c r="D11" s="230">
        <v>3</v>
      </c>
    </row>
    <row r="12" spans="2:6" x14ac:dyDescent="0.3">
      <c r="B12" s="230">
        <v>2</v>
      </c>
      <c r="C12" s="231" t="s">
        <v>1103</v>
      </c>
      <c r="D12" s="230">
        <v>3</v>
      </c>
    </row>
    <row r="13" spans="2:6" x14ac:dyDescent="0.3">
      <c r="B13" s="230">
        <v>3</v>
      </c>
      <c r="C13" s="231" t="s">
        <v>1104</v>
      </c>
      <c r="D13" s="230">
        <v>3</v>
      </c>
    </row>
    <row r="14" spans="2:6" x14ac:dyDescent="0.3">
      <c r="B14" s="230">
        <v>4</v>
      </c>
      <c r="C14" s="231" t="s">
        <v>1105</v>
      </c>
      <c r="D14" s="230">
        <v>3</v>
      </c>
    </row>
    <row r="15" spans="2:6" x14ac:dyDescent="0.3">
      <c r="B15" s="230">
        <v>5</v>
      </c>
      <c r="C15" s="231" t="s">
        <v>1106</v>
      </c>
      <c r="D15" s="230">
        <v>3</v>
      </c>
    </row>
    <row r="16" spans="2:6" x14ac:dyDescent="0.3">
      <c r="B16" s="230">
        <v>6</v>
      </c>
      <c r="C16" s="231" t="s">
        <v>1107</v>
      </c>
      <c r="D16" s="230">
        <v>3</v>
      </c>
    </row>
    <row r="17" spans="2:6" x14ac:dyDescent="0.3">
      <c r="B17" s="230">
        <v>7</v>
      </c>
      <c r="C17" s="231" t="s">
        <v>209</v>
      </c>
      <c r="D17" s="230">
        <v>5</v>
      </c>
    </row>
    <row r="18" spans="2:6" x14ac:dyDescent="0.3">
      <c r="B18" s="230">
        <v>8</v>
      </c>
      <c r="C18" s="231" t="s">
        <v>1108</v>
      </c>
      <c r="D18" s="230">
        <v>3</v>
      </c>
    </row>
    <row r="19" spans="2:6" x14ac:dyDescent="0.3">
      <c r="B19" s="230">
        <v>9</v>
      </c>
      <c r="C19" s="231" t="s">
        <v>1109</v>
      </c>
      <c r="D19" s="230">
        <v>3</v>
      </c>
    </row>
    <row r="20" spans="2:6" x14ac:dyDescent="0.3">
      <c r="B20" s="230">
        <v>10</v>
      </c>
      <c r="C20" s="231" t="s">
        <v>1110</v>
      </c>
      <c r="D20" s="230">
        <v>3</v>
      </c>
    </row>
    <row r="21" spans="2:6" x14ac:dyDescent="0.3">
      <c r="B21" s="230">
        <v>11</v>
      </c>
      <c r="C21" s="231" t="s">
        <v>1111</v>
      </c>
      <c r="D21" s="230">
        <v>3</v>
      </c>
    </row>
    <row r="22" spans="2:6" x14ac:dyDescent="0.3">
      <c r="B22" s="230">
        <v>12</v>
      </c>
      <c r="C22" s="231" t="s">
        <v>1112</v>
      </c>
      <c r="D22" s="230">
        <v>3</v>
      </c>
    </row>
    <row r="23" spans="2:6" x14ac:dyDescent="0.3">
      <c r="B23" s="230">
        <v>13</v>
      </c>
      <c r="C23" s="231" t="s">
        <v>1113</v>
      </c>
      <c r="D23" s="230">
        <v>3</v>
      </c>
    </row>
    <row r="24" spans="2:6" x14ac:dyDescent="0.3">
      <c r="B24" s="230">
        <v>14</v>
      </c>
      <c r="C24" s="231" t="s">
        <v>1114</v>
      </c>
      <c r="D24" s="230">
        <v>3</v>
      </c>
    </row>
    <row r="25" spans="2:6" x14ac:dyDescent="0.3">
      <c r="B25" s="230">
        <v>15</v>
      </c>
      <c r="C25" s="231" t="s">
        <v>1115</v>
      </c>
      <c r="D25" s="230">
        <v>3</v>
      </c>
    </row>
    <row r="26" spans="2:6" x14ac:dyDescent="0.3">
      <c r="B26" s="230">
        <v>16</v>
      </c>
      <c r="C26" s="231" t="s">
        <v>1116</v>
      </c>
      <c r="D26" s="230">
        <v>3</v>
      </c>
    </row>
    <row r="27" spans="2:6" x14ac:dyDescent="0.3">
      <c r="B27" s="234"/>
      <c r="C27" s="234" t="s">
        <v>150</v>
      </c>
      <c r="D27" s="235">
        <f>SUM(D11:D26)</f>
        <v>50</v>
      </c>
    </row>
    <row r="28" spans="2:6" x14ac:dyDescent="0.3">
      <c r="B28" s="239"/>
      <c r="C28" s="239"/>
      <c r="D28" s="240"/>
    </row>
    <row r="29" spans="2:6" x14ac:dyDescent="0.3">
      <c r="B29" s="239"/>
      <c r="C29" s="239"/>
      <c r="D29" s="240"/>
    </row>
    <row r="31" spans="2:6" x14ac:dyDescent="0.3">
      <c r="B31" s="236" t="s">
        <v>197</v>
      </c>
      <c r="C31" s="237" t="s">
        <v>151</v>
      </c>
      <c r="D31" s="238" t="s">
        <v>215</v>
      </c>
      <c r="E31" s="216" t="s">
        <v>216</v>
      </c>
      <c r="F31" s="217" t="s">
        <v>217</v>
      </c>
    </row>
    <row r="32" spans="2:6" x14ac:dyDescent="0.3">
      <c r="B32" s="230">
        <v>1</v>
      </c>
      <c r="C32" s="231" t="s">
        <v>174</v>
      </c>
      <c r="D32" s="231" t="s">
        <v>1102</v>
      </c>
      <c r="E32" s="230">
        <v>1</v>
      </c>
      <c r="F32" s="231" t="s">
        <v>1117</v>
      </c>
    </row>
    <row r="33" spans="2:6" x14ac:dyDescent="0.3">
      <c r="B33" s="230">
        <v>2</v>
      </c>
      <c r="C33" s="231" t="s">
        <v>174</v>
      </c>
      <c r="D33" s="231" t="s">
        <v>1102</v>
      </c>
      <c r="E33" s="230">
        <v>2</v>
      </c>
      <c r="F33" s="231" t="s">
        <v>1118</v>
      </c>
    </row>
    <row r="34" spans="2:6" x14ac:dyDescent="0.3">
      <c r="B34" s="230">
        <v>3</v>
      </c>
      <c r="C34" s="231" t="s">
        <v>174</v>
      </c>
      <c r="D34" s="231" t="s">
        <v>1102</v>
      </c>
      <c r="E34" s="230">
        <v>3</v>
      </c>
      <c r="F34" s="231" t="s">
        <v>1119</v>
      </c>
    </row>
    <row r="35" spans="2:6" x14ac:dyDescent="0.3">
      <c r="B35" s="230">
        <v>4</v>
      </c>
      <c r="C35" s="231" t="s">
        <v>174</v>
      </c>
      <c r="D35" s="231" t="s">
        <v>1103</v>
      </c>
      <c r="E35" s="230">
        <v>1</v>
      </c>
      <c r="F35" s="231" t="s">
        <v>1120</v>
      </c>
    </row>
    <row r="36" spans="2:6" x14ac:dyDescent="0.3">
      <c r="B36" s="230">
        <v>5</v>
      </c>
      <c r="C36" s="231" t="s">
        <v>174</v>
      </c>
      <c r="D36" s="231" t="s">
        <v>1103</v>
      </c>
      <c r="E36" s="230">
        <v>2</v>
      </c>
      <c r="F36" s="231" t="s">
        <v>1121</v>
      </c>
    </row>
    <row r="37" spans="2:6" x14ac:dyDescent="0.3">
      <c r="B37" s="230">
        <v>6</v>
      </c>
      <c r="C37" s="231" t="s">
        <v>174</v>
      </c>
      <c r="D37" s="231" t="s">
        <v>1103</v>
      </c>
      <c r="E37" s="230">
        <v>3</v>
      </c>
      <c r="F37" s="231" t="s">
        <v>1122</v>
      </c>
    </row>
    <row r="38" spans="2:6" x14ac:dyDescent="0.3">
      <c r="B38" s="230">
        <v>7</v>
      </c>
      <c r="C38" s="231" t="s">
        <v>174</v>
      </c>
      <c r="D38" s="231" t="s">
        <v>1104</v>
      </c>
      <c r="E38" s="230">
        <v>1</v>
      </c>
      <c r="F38" s="231" t="s">
        <v>1123</v>
      </c>
    </row>
    <row r="39" spans="2:6" x14ac:dyDescent="0.3">
      <c r="B39" s="230">
        <v>8</v>
      </c>
      <c r="C39" s="231" t="s">
        <v>174</v>
      </c>
      <c r="D39" s="231" t="s">
        <v>1104</v>
      </c>
      <c r="E39" s="230">
        <v>2</v>
      </c>
      <c r="F39" s="231" t="s">
        <v>1124</v>
      </c>
    </row>
    <row r="40" spans="2:6" x14ac:dyDescent="0.3">
      <c r="B40" s="230">
        <v>9</v>
      </c>
      <c r="C40" s="231" t="s">
        <v>174</v>
      </c>
      <c r="D40" s="231" t="s">
        <v>1104</v>
      </c>
      <c r="E40" s="230">
        <v>3</v>
      </c>
      <c r="F40" s="231" t="s">
        <v>1125</v>
      </c>
    </row>
    <row r="41" spans="2:6" x14ac:dyDescent="0.3">
      <c r="B41" s="230">
        <v>10</v>
      </c>
      <c r="C41" s="231" t="s">
        <v>174</v>
      </c>
      <c r="D41" s="231" t="s">
        <v>1105</v>
      </c>
      <c r="E41" s="230">
        <v>1</v>
      </c>
      <c r="F41" s="231" t="s">
        <v>1126</v>
      </c>
    </row>
    <row r="42" spans="2:6" x14ac:dyDescent="0.3">
      <c r="B42" s="230">
        <v>11</v>
      </c>
      <c r="C42" s="231" t="s">
        <v>174</v>
      </c>
      <c r="D42" s="231" t="s">
        <v>1105</v>
      </c>
      <c r="E42" s="230">
        <v>2</v>
      </c>
      <c r="F42" s="231" t="s">
        <v>1127</v>
      </c>
    </row>
    <row r="43" spans="2:6" x14ac:dyDescent="0.3">
      <c r="B43" s="230">
        <v>12</v>
      </c>
      <c r="C43" s="231" t="s">
        <v>174</v>
      </c>
      <c r="D43" s="231" t="s">
        <v>1105</v>
      </c>
      <c r="E43" s="230">
        <v>3</v>
      </c>
      <c r="F43" s="231" t="s">
        <v>1128</v>
      </c>
    </row>
    <row r="44" spans="2:6" x14ac:dyDescent="0.3">
      <c r="B44" s="230">
        <v>13</v>
      </c>
      <c r="C44" s="231" t="s">
        <v>174</v>
      </c>
      <c r="D44" s="231" t="s">
        <v>1106</v>
      </c>
      <c r="E44" s="230">
        <v>1</v>
      </c>
      <c r="F44" s="231" t="s">
        <v>1129</v>
      </c>
    </row>
    <row r="45" spans="2:6" x14ac:dyDescent="0.3">
      <c r="B45" s="230">
        <v>14</v>
      </c>
      <c r="C45" s="231" t="s">
        <v>174</v>
      </c>
      <c r="D45" s="231" t="s">
        <v>1106</v>
      </c>
      <c r="E45" s="230">
        <v>2</v>
      </c>
      <c r="F45" s="231" t="s">
        <v>1130</v>
      </c>
    </row>
    <row r="46" spans="2:6" x14ac:dyDescent="0.3">
      <c r="B46" s="230">
        <v>15</v>
      </c>
      <c r="C46" s="231" t="s">
        <v>174</v>
      </c>
      <c r="D46" s="231" t="s">
        <v>1106</v>
      </c>
      <c r="E46" s="230">
        <v>3</v>
      </c>
      <c r="F46" s="231" t="s">
        <v>1131</v>
      </c>
    </row>
    <row r="47" spans="2:6" x14ac:dyDescent="0.3">
      <c r="B47" s="230">
        <v>16</v>
      </c>
      <c r="C47" s="231" t="s">
        <v>174</v>
      </c>
      <c r="D47" s="231" t="s">
        <v>1107</v>
      </c>
      <c r="E47" s="230">
        <v>1</v>
      </c>
      <c r="F47" s="231" t="s">
        <v>1132</v>
      </c>
    </row>
    <row r="48" spans="2:6" x14ac:dyDescent="0.3">
      <c r="B48" s="230">
        <v>17</v>
      </c>
      <c r="C48" s="231" t="s">
        <v>174</v>
      </c>
      <c r="D48" s="231" t="s">
        <v>1107</v>
      </c>
      <c r="E48" s="230">
        <v>2</v>
      </c>
      <c r="F48" s="231" t="s">
        <v>1133</v>
      </c>
    </row>
    <row r="49" spans="2:6" x14ac:dyDescent="0.3">
      <c r="B49" s="230">
        <v>18</v>
      </c>
      <c r="C49" s="231" t="s">
        <v>174</v>
      </c>
      <c r="D49" s="231" t="s">
        <v>1107</v>
      </c>
      <c r="E49" s="230">
        <v>3</v>
      </c>
      <c r="F49" s="231" t="s">
        <v>1134</v>
      </c>
    </row>
    <row r="50" spans="2:6" x14ac:dyDescent="0.3">
      <c r="B50" s="230">
        <v>19</v>
      </c>
      <c r="C50" s="231" t="s">
        <v>174</v>
      </c>
      <c r="D50" s="231" t="s">
        <v>209</v>
      </c>
      <c r="E50" s="230">
        <v>1</v>
      </c>
      <c r="F50" s="231" t="s">
        <v>260</v>
      </c>
    </row>
    <row r="51" spans="2:6" x14ac:dyDescent="0.3">
      <c r="B51" s="230">
        <v>20</v>
      </c>
      <c r="C51" s="231" t="s">
        <v>174</v>
      </c>
      <c r="D51" s="231" t="s">
        <v>209</v>
      </c>
      <c r="E51" s="230">
        <v>2</v>
      </c>
      <c r="F51" s="231" t="s">
        <v>261</v>
      </c>
    </row>
    <row r="52" spans="2:6" x14ac:dyDescent="0.3">
      <c r="B52" s="230">
        <v>21</v>
      </c>
      <c r="C52" s="231" t="s">
        <v>174</v>
      </c>
      <c r="D52" s="231" t="s">
        <v>209</v>
      </c>
      <c r="E52" s="230">
        <v>3</v>
      </c>
      <c r="F52" s="231" t="s">
        <v>262</v>
      </c>
    </row>
    <row r="53" spans="2:6" x14ac:dyDescent="0.3">
      <c r="B53" s="230">
        <v>22</v>
      </c>
      <c r="C53" s="231" t="s">
        <v>174</v>
      </c>
      <c r="D53" s="231" t="s">
        <v>209</v>
      </c>
      <c r="E53" s="230">
        <v>4</v>
      </c>
      <c r="F53" s="231" t="s">
        <v>263</v>
      </c>
    </row>
    <row r="54" spans="2:6" x14ac:dyDescent="0.3">
      <c r="B54" s="230">
        <v>23</v>
      </c>
      <c r="C54" s="231" t="s">
        <v>174</v>
      </c>
      <c r="D54" s="231" t="s">
        <v>209</v>
      </c>
      <c r="E54" s="230">
        <v>5</v>
      </c>
      <c r="F54" s="231" t="s">
        <v>264</v>
      </c>
    </row>
    <row r="55" spans="2:6" x14ac:dyDescent="0.3">
      <c r="B55" s="230">
        <v>24</v>
      </c>
      <c r="C55" s="231" t="s">
        <v>174</v>
      </c>
      <c r="D55" s="231" t="s">
        <v>1108</v>
      </c>
      <c r="E55" s="230">
        <v>1</v>
      </c>
      <c r="F55" s="231" t="s">
        <v>1135</v>
      </c>
    </row>
    <row r="56" spans="2:6" x14ac:dyDescent="0.3">
      <c r="B56" s="230">
        <v>25</v>
      </c>
      <c r="C56" s="231" t="s">
        <v>174</v>
      </c>
      <c r="D56" s="231" t="s">
        <v>1108</v>
      </c>
      <c r="E56" s="230">
        <v>2</v>
      </c>
      <c r="F56" s="231" t="s">
        <v>1136</v>
      </c>
    </row>
    <row r="57" spans="2:6" x14ac:dyDescent="0.3">
      <c r="B57" s="230">
        <v>26</v>
      </c>
      <c r="C57" s="231" t="s">
        <v>174</v>
      </c>
      <c r="D57" s="231" t="s">
        <v>1108</v>
      </c>
      <c r="E57" s="230">
        <v>3</v>
      </c>
      <c r="F57" s="231" t="s">
        <v>1137</v>
      </c>
    </row>
    <row r="58" spans="2:6" x14ac:dyDescent="0.3">
      <c r="B58" s="230">
        <v>27</v>
      </c>
      <c r="C58" s="231" t="s">
        <v>174</v>
      </c>
      <c r="D58" s="231" t="s">
        <v>1109</v>
      </c>
      <c r="E58" s="230">
        <v>1</v>
      </c>
      <c r="F58" s="231" t="s">
        <v>1138</v>
      </c>
    </row>
    <row r="59" spans="2:6" x14ac:dyDescent="0.3">
      <c r="B59" s="230">
        <v>28</v>
      </c>
      <c r="C59" s="231" t="s">
        <v>174</v>
      </c>
      <c r="D59" s="231" t="s">
        <v>1109</v>
      </c>
      <c r="E59" s="230">
        <v>2</v>
      </c>
      <c r="F59" s="231" t="s">
        <v>1139</v>
      </c>
    </row>
    <row r="60" spans="2:6" x14ac:dyDescent="0.3">
      <c r="B60" s="230">
        <v>29</v>
      </c>
      <c r="C60" s="231" t="s">
        <v>174</v>
      </c>
      <c r="D60" s="231" t="s">
        <v>1109</v>
      </c>
      <c r="E60" s="230">
        <v>3</v>
      </c>
      <c r="F60" s="231" t="s">
        <v>1140</v>
      </c>
    </row>
    <row r="61" spans="2:6" x14ac:dyDescent="0.3">
      <c r="B61" s="230">
        <v>30</v>
      </c>
      <c r="C61" s="231" t="s">
        <v>174</v>
      </c>
      <c r="D61" s="231" t="s">
        <v>1110</v>
      </c>
      <c r="E61" s="230">
        <v>1</v>
      </c>
      <c r="F61" s="231" t="s">
        <v>1141</v>
      </c>
    </row>
    <row r="62" spans="2:6" x14ac:dyDescent="0.3">
      <c r="B62" s="230">
        <v>31</v>
      </c>
      <c r="C62" s="231" t="s">
        <v>174</v>
      </c>
      <c r="D62" s="231" t="s">
        <v>1110</v>
      </c>
      <c r="E62" s="230">
        <v>2</v>
      </c>
      <c r="F62" s="231" t="s">
        <v>1142</v>
      </c>
    </row>
    <row r="63" spans="2:6" x14ac:dyDescent="0.3">
      <c r="B63" s="230">
        <v>32</v>
      </c>
      <c r="C63" s="231" t="s">
        <v>174</v>
      </c>
      <c r="D63" s="231" t="s">
        <v>1110</v>
      </c>
      <c r="E63" s="230">
        <v>3</v>
      </c>
      <c r="F63" s="231" t="s">
        <v>1143</v>
      </c>
    </row>
    <row r="64" spans="2:6" x14ac:dyDescent="0.3">
      <c r="B64" s="230">
        <v>33</v>
      </c>
      <c r="C64" s="231" t="s">
        <v>174</v>
      </c>
      <c r="D64" s="231" t="s">
        <v>1111</v>
      </c>
      <c r="E64" s="230">
        <v>1</v>
      </c>
      <c r="F64" s="231" t="s">
        <v>1144</v>
      </c>
    </row>
    <row r="65" spans="2:6" x14ac:dyDescent="0.3">
      <c r="B65" s="230">
        <v>34</v>
      </c>
      <c r="C65" s="231" t="s">
        <v>174</v>
      </c>
      <c r="D65" s="231" t="s">
        <v>1111</v>
      </c>
      <c r="E65" s="230">
        <v>2</v>
      </c>
      <c r="F65" s="231" t="s">
        <v>1145</v>
      </c>
    </row>
    <row r="66" spans="2:6" x14ac:dyDescent="0.3">
      <c r="B66" s="230">
        <v>35</v>
      </c>
      <c r="C66" s="231" t="s">
        <v>174</v>
      </c>
      <c r="D66" s="231" t="s">
        <v>1111</v>
      </c>
      <c r="E66" s="230">
        <v>3</v>
      </c>
      <c r="F66" s="231" t="s">
        <v>1146</v>
      </c>
    </row>
    <row r="67" spans="2:6" x14ac:dyDescent="0.3">
      <c r="B67" s="230">
        <v>36</v>
      </c>
      <c r="C67" s="231" t="s">
        <v>174</v>
      </c>
      <c r="D67" s="231" t="s">
        <v>1112</v>
      </c>
      <c r="E67" s="230">
        <v>1</v>
      </c>
      <c r="F67" s="231" t="s">
        <v>1147</v>
      </c>
    </row>
    <row r="68" spans="2:6" x14ac:dyDescent="0.3">
      <c r="B68" s="230">
        <v>37</v>
      </c>
      <c r="C68" s="231" t="s">
        <v>174</v>
      </c>
      <c r="D68" s="231" t="s">
        <v>1112</v>
      </c>
      <c r="E68" s="230">
        <v>2</v>
      </c>
      <c r="F68" s="231" t="s">
        <v>1148</v>
      </c>
    </row>
    <row r="69" spans="2:6" x14ac:dyDescent="0.3">
      <c r="B69" s="230">
        <v>38</v>
      </c>
      <c r="C69" s="231" t="s">
        <v>174</v>
      </c>
      <c r="D69" s="231" t="s">
        <v>1112</v>
      </c>
      <c r="E69" s="230">
        <v>3</v>
      </c>
      <c r="F69" s="231" t="s">
        <v>1149</v>
      </c>
    </row>
    <row r="70" spans="2:6" x14ac:dyDescent="0.3">
      <c r="B70" s="230">
        <v>39</v>
      </c>
      <c r="C70" s="231" t="s">
        <v>174</v>
      </c>
      <c r="D70" s="231" t="s">
        <v>1113</v>
      </c>
      <c r="E70" s="230">
        <v>1</v>
      </c>
      <c r="F70" s="231" t="s">
        <v>1150</v>
      </c>
    </row>
    <row r="71" spans="2:6" x14ac:dyDescent="0.3">
      <c r="B71" s="230">
        <v>40</v>
      </c>
      <c r="C71" s="231" t="s">
        <v>174</v>
      </c>
      <c r="D71" s="231" t="s">
        <v>1113</v>
      </c>
      <c r="E71" s="230">
        <v>2</v>
      </c>
      <c r="F71" s="231" t="s">
        <v>1151</v>
      </c>
    </row>
    <row r="72" spans="2:6" x14ac:dyDescent="0.3">
      <c r="B72" s="230">
        <v>41</v>
      </c>
      <c r="C72" s="231" t="s">
        <v>174</v>
      </c>
      <c r="D72" s="231" t="s">
        <v>1113</v>
      </c>
      <c r="E72" s="230">
        <v>3</v>
      </c>
      <c r="F72" s="231" t="s">
        <v>1152</v>
      </c>
    </row>
    <row r="73" spans="2:6" x14ac:dyDescent="0.3">
      <c r="B73" s="230">
        <v>42</v>
      </c>
      <c r="C73" s="231" t="s">
        <v>174</v>
      </c>
      <c r="D73" s="231" t="s">
        <v>1114</v>
      </c>
      <c r="E73" s="230">
        <v>1</v>
      </c>
      <c r="F73" s="231" t="s">
        <v>1153</v>
      </c>
    </row>
    <row r="74" spans="2:6" x14ac:dyDescent="0.3">
      <c r="B74" s="230">
        <v>43</v>
      </c>
      <c r="C74" s="231" t="s">
        <v>174</v>
      </c>
      <c r="D74" s="231" t="s">
        <v>1114</v>
      </c>
      <c r="E74" s="230">
        <v>2</v>
      </c>
      <c r="F74" s="231" t="s">
        <v>1154</v>
      </c>
    </row>
    <row r="75" spans="2:6" x14ac:dyDescent="0.3">
      <c r="B75" s="230">
        <v>44</v>
      </c>
      <c r="C75" s="231" t="s">
        <v>174</v>
      </c>
      <c r="D75" s="231" t="s">
        <v>1114</v>
      </c>
      <c r="E75" s="230">
        <v>3</v>
      </c>
      <c r="F75" s="231" t="s">
        <v>1155</v>
      </c>
    </row>
    <row r="76" spans="2:6" x14ac:dyDescent="0.3">
      <c r="B76" s="230">
        <v>45</v>
      </c>
      <c r="C76" s="231" t="s">
        <v>174</v>
      </c>
      <c r="D76" s="231" t="s">
        <v>1115</v>
      </c>
      <c r="E76" s="230">
        <v>1</v>
      </c>
      <c r="F76" s="231" t="s">
        <v>1156</v>
      </c>
    </row>
    <row r="77" spans="2:6" x14ac:dyDescent="0.3">
      <c r="B77" s="230">
        <v>46</v>
      </c>
      <c r="C77" s="231" t="s">
        <v>174</v>
      </c>
      <c r="D77" s="231" t="s">
        <v>1115</v>
      </c>
      <c r="E77" s="230">
        <v>2</v>
      </c>
      <c r="F77" s="231" t="s">
        <v>1157</v>
      </c>
    </row>
    <row r="78" spans="2:6" x14ac:dyDescent="0.3">
      <c r="B78" s="230">
        <v>47</v>
      </c>
      <c r="C78" s="231" t="s">
        <v>174</v>
      </c>
      <c r="D78" s="231" t="s">
        <v>1115</v>
      </c>
      <c r="E78" s="230">
        <v>3</v>
      </c>
      <c r="F78" s="231" t="s">
        <v>1158</v>
      </c>
    </row>
    <row r="79" spans="2:6" x14ac:dyDescent="0.3">
      <c r="B79" s="230">
        <v>48</v>
      </c>
      <c r="C79" s="231" t="s">
        <v>174</v>
      </c>
      <c r="D79" s="231" t="s">
        <v>1116</v>
      </c>
      <c r="E79" s="230">
        <v>1</v>
      </c>
      <c r="F79" s="231" t="s">
        <v>1159</v>
      </c>
    </row>
    <row r="80" spans="2:6" x14ac:dyDescent="0.3">
      <c r="B80" s="230">
        <v>49</v>
      </c>
      <c r="C80" s="231" t="s">
        <v>174</v>
      </c>
      <c r="D80" s="231" t="s">
        <v>1116</v>
      </c>
      <c r="E80" s="230">
        <v>2</v>
      </c>
      <c r="F80" s="231" t="s">
        <v>1160</v>
      </c>
    </row>
    <row r="81" spans="2:6" x14ac:dyDescent="0.3">
      <c r="B81" s="230">
        <v>50</v>
      </c>
      <c r="C81" s="231" t="s">
        <v>174</v>
      </c>
      <c r="D81" s="231" t="s">
        <v>1116</v>
      </c>
      <c r="E81" s="230">
        <v>3</v>
      </c>
      <c r="F81" s="231" t="s">
        <v>1161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2" tint="-0.249977111117893"/>
    <pageSetUpPr fitToPage="1"/>
  </sheetPr>
  <dimension ref="B2:F43"/>
  <sheetViews>
    <sheetView showGridLines="0" view="pageLayout" topLeftCell="C9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1162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1163</v>
      </c>
      <c r="C4" s="22">
        <v>23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18</v>
      </c>
      <c r="E8" s="38" t="s">
        <v>1164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1165</v>
      </c>
      <c r="D11" s="40">
        <v>3</v>
      </c>
    </row>
    <row r="12" spans="2:6" x14ac:dyDescent="0.3">
      <c r="B12" s="39">
        <v>2</v>
      </c>
      <c r="C12" s="39" t="s">
        <v>1166</v>
      </c>
      <c r="D12" s="40">
        <v>3</v>
      </c>
    </row>
    <row r="13" spans="2:6" x14ac:dyDescent="0.3">
      <c r="B13" s="39">
        <v>3</v>
      </c>
      <c r="C13" s="39" t="s">
        <v>1167</v>
      </c>
      <c r="D13" s="40">
        <v>3</v>
      </c>
    </row>
    <row r="14" spans="2:6" x14ac:dyDescent="0.3">
      <c r="B14" s="39">
        <v>4</v>
      </c>
      <c r="C14" s="39" t="s">
        <v>1168</v>
      </c>
      <c r="D14" s="40">
        <v>3</v>
      </c>
    </row>
    <row r="15" spans="2:6" x14ac:dyDescent="0.3">
      <c r="B15" s="39">
        <v>5</v>
      </c>
      <c r="C15" s="39" t="s">
        <v>1169</v>
      </c>
      <c r="D15" s="40">
        <v>5</v>
      </c>
    </row>
    <row r="16" spans="2:6" x14ac:dyDescent="0.3">
      <c r="B16" s="39">
        <v>6</v>
      </c>
      <c r="C16" s="39" t="s">
        <v>1170</v>
      </c>
      <c r="D16" s="40">
        <v>3</v>
      </c>
    </row>
    <row r="17" spans="2:6" x14ac:dyDescent="0.3">
      <c r="B17" s="41">
        <v>7</v>
      </c>
      <c r="C17" s="39" t="s">
        <v>1171</v>
      </c>
      <c r="D17" s="40">
        <v>3</v>
      </c>
    </row>
    <row r="18" spans="2:6" x14ac:dyDescent="0.3">
      <c r="C18" s="42" t="s">
        <v>150</v>
      </c>
      <c r="D18" s="43">
        <f>SUM(D11:D17)</f>
        <v>23</v>
      </c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175</v>
      </c>
      <c r="D21" s="41" t="s">
        <v>1165</v>
      </c>
      <c r="E21" s="41">
        <v>1</v>
      </c>
      <c r="F21" s="41" t="s">
        <v>1172</v>
      </c>
    </row>
    <row r="22" spans="2:6" x14ac:dyDescent="0.3">
      <c r="B22" s="41">
        <v>2</v>
      </c>
      <c r="C22" s="41" t="s">
        <v>175</v>
      </c>
      <c r="D22" s="41" t="s">
        <v>1165</v>
      </c>
      <c r="E22" s="41">
        <v>2</v>
      </c>
      <c r="F22" s="41" t="s">
        <v>1173</v>
      </c>
    </row>
    <row r="23" spans="2:6" x14ac:dyDescent="0.3">
      <c r="B23" s="41">
        <v>3</v>
      </c>
      <c r="C23" s="41" t="s">
        <v>175</v>
      </c>
      <c r="D23" s="41" t="s">
        <v>1165</v>
      </c>
      <c r="E23" s="41">
        <v>3</v>
      </c>
      <c r="F23" s="41" t="s">
        <v>1174</v>
      </c>
    </row>
    <row r="24" spans="2:6" x14ac:dyDescent="0.3">
      <c r="B24" s="41">
        <v>4</v>
      </c>
      <c r="C24" s="41" t="s">
        <v>175</v>
      </c>
      <c r="D24" s="41" t="s">
        <v>1166</v>
      </c>
      <c r="E24" s="41">
        <v>1</v>
      </c>
      <c r="F24" s="41" t="s">
        <v>1175</v>
      </c>
    </row>
    <row r="25" spans="2:6" x14ac:dyDescent="0.3">
      <c r="B25" s="41">
        <v>5</v>
      </c>
      <c r="C25" s="41" t="s">
        <v>175</v>
      </c>
      <c r="D25" s="41" t="s">
        <v>1166</v>
      </c>
      <c r="E25" s="41">
        <v>2</v>
      </c>
      <c r="F25" s="41" t="s">
        <v>1176</v>
      </c>
    </row>
    <row r="26" spans="2:6" x14ac:dyDescent="0.3">
      <c r="B26" s="41">
        <v>6</v>
      </c>
      <c r="C26" s="41" t="s">
        <v>175</v>
      </c>
      <c r="D26" s="41" t="s">
        <v>1166</v>
      </c>
      <c r="E26" s="41">
        <v>3</v>
      </c>
      <c r="F26" s="41" t="s">
        <v>1177</v>
      </c>
    </row>
    <row r="27" spans="2:6" x14ac:dyDescent="0.3">
      <c r="B27" s="41">
        <v>7</v>
      </c>
      <c r="C27" s="41" t="s">
        <v>175</v>
      </c>
      <c r="D27" s="41" t="s">
        <v>1167</v>
      </c>
      <c r="E27" s="41">
        <v>1</v>
      </c>
      <c r="F27" s="41" t="s">
        <v>1178</v>
      </c>
    </row>
    <row r="28" spans="2:6" x14ac:dyDescent="0.3">
      <c r="B28" s="41">
        <v>8</v>
      </c>
      <c r="C28" s="41" t="s">
        <v>175</v>
      </c>
      <c r="D28" s="41" t="s">
        <v>1167</v>
      </c>
      <c r="E28" s="41">
        <v>2</v>
      </c>
      <c r="F28" s="41" t="s">
        <v>1179</v>
      </c>
    </row>
    <row r="29" spans="2:6" x14ac:dyDescent="0.3">
      <c r="B29" s="41">
        <v>9</v>
      </c>
      <c r="C29" s="41" t="s">
        <v>175</v>
      </c>
      <c r="D29" s="41" t="s">
        <v>1167</v>
      </c>
      <c r="E29" s="41">
        <v>3</v>
      </c>
      <c r="F29" s="41" t="s">
        <v>1180</v>
      </c>
    </row>
    <row r="30" spans="2:6" x14ac:dyDescent="0.3">
      <c r="B30" s="41">
        <v>10</v>
      </c>
      <c r="C30" s="41" t="s">
        <v>175</v>
      </c>
      <c r="D30" s="41" t="s">
        <v>1168</v>
      </c>
      <c r="E30" s="41">
        <v>1</v>
      </c>
      <c r="F30" s="41" t="s">
        <v>1181</v>
      </c>
    </row>
    <row r="31" spans="2:6" x14ac:dyDescent="0.3">
      <c r="B31" s="41">
        <v>11</v>
      </c>
      <c r="C31" s="41" t="s">
        <v>175</v>
      </c>
      <c r="D31" s="41" t="s">
        <v>1168</v>
      </c>
      <c r="E31" s="41">
        <v>2</v>
      </c>
      <c r="F31" s="41" t="s">
        <v>1182</v>
      </c>
    </row>
    <row r="32" spans="2:6" x14ac:dyDescent="0.3">
      <c r="B32" s="41">
        <v>12</v>
      </c>
      <c r="C32" s="41" t="s">
        <v>175</v>
      </c>
      <c r="D32" s="41" t="s">
        <v>1168</v>
      </c>
      <c r="E32" s="41">
        <v>3</v>
      </c>
      <c r="F32" s="41" t="s">
        <v>1183</v>
      </c>
    </row>
    <row r="33" spans="2:6" x14ac:dyDescent="0.3">
      <c r="B33" s="41">
        <v>13</v>
      </c>
      <c r="C33" s="41" t="s">
        <v>175</v>
      </c>
      <c r="D33" s="41" t="s">
        <v>1169</v>
      </c>
      <c r="E33" s="41">
        <v>1</v>
      </c>
      <c r="F33" s="41" t="s">
        <v>1184</v>
      </c>
    </row>
    <row r="34" spans="2:6" x14ac:dyDescent="0.3">
      <c r="B34" s="41">
        <v>14</v>
      </c>
      <c r="C34" s="41" t="s">
        <v>175</v>
      </c>
      <c r="D34" s="41" t="s">
        <v>1169</v>
      </c>
      <c r="E34" s="41">
        <v>2</v>
      </c>
      <c r="F34" s="41" t="s">
        <v>1185</v>
      </c>
    </row>
    <row r="35" spans="2:6" x14ac:dyDescent="0.3">
      <c r="B35" s="41">
        <v>15</v>
      </c>
      <c r="C35" s="41" t="s">
        <v>175</v>
      </c>
      <c r="D35" s="41" t="s">
        <v>1169</v>
      </c>
      <c r="E35" s="41">
        <v>3</v>
      </c>
      <c r="F35" s="41" t="s">
        <v>1186</v>
      </c>
    </row>
    <row r="36" spans="2:6" x14ac:dyDescent="0.3">
      <c r="B36" s="41">
        <v>16</v>
      </c>
      <c r="C36" s="41" t="s">
        <v>175</v>
      </c>
      <c r="D36" s="41" t="s">
        <v>1169</v>
      </c>
      <c r="E36" s="41">
        <v>4</v>
      </c>
      <c r="F36" s="41" t="s">
        <v>1187</v>
      </c>
    </row>
    <row r="37" spans="2:6" x14ac:dyDescent="0.3">
      <c r="B37" s="41">
        <v>17</v>
      </c>
      <c r="C37" s="41" t="s">
        <v>175</v>
      </c>
      <c r="D37" s="41" t="s">
        <v>1169</v>
      </c>
      <c r="E37" s="41">
        <v>5</v>
      </c>
      <c r="F37" s="41" t="s">
        <v>1188</v>
      </c>
    </row>
    <row r="38" spans="2:6" x14ac:dyDescent="0.3">
      <c r="B38" s="41">
        <v>18</v>
      </c>
      <c r="C38" s="41" t="s">
        <v>175</v>
      </c>
      <c r="D38" s="41" t="s">
        <v>1170</v>
      </c>
      <c r="E38" s="41">
        <v>1</v>
      </c>
      <c r="F38" s="41" t="s">
        <v>1189</v>
      </c>
    </row>
    <row r="39" spans="2:6" x14ac:dyDescent="0.3">
      <c r="B39" s="41">
        <v>19</v>
      </c>
      <c r="C39" s="41" t="s">
        <v>175</v>
      </c>
      <c r="D39" s="41" t="s">
        <v>1170</v>
      </c>
      <c r="E39" s="41">
        <v>2</v>
      </c>
      <c r="F39" s="41" t="s">
        <v>1190</v>
      </c>
    </row>
    <row r="40" spans="2:6" x14ac:dyDescent="0.3">
      <c r="B40" s="41">
        <v>20</v>
      </c>
      <c r="C40" s="41" t="s">
        <v>175</v>
      </c>
      <c r="D40" s="41" t="s">
        <v>1170</v>
      </c>
      <c r="E40" s="41">
        <v>3</v>
      </c>
      <c r="F40" s="41" t="s">
        <v>1191</v>
      </c>
    </row>
    <row r="41" spans="2:6" x14ac:dyDescent="0.3">
      <c r="B41" s="41">
        <v>21</v>
      </c>
      <c r="C41" s="41" t="s">
        <v>175</v>
      </c>
      <c r="D41" s="41" t="s">
        <v>1171</v>
      </c>
      <c r="E41" s="41">
        <v>1</v>
      </c>
      <c r="F41" s="41" t="s">
        <v>1192</v>
      </c>
    </row>
    <row r="42" spans="2:6" x14ac:dyDescent="0.3">
      <c r="B42" s="41">
        <v>22</v>
      </c>
      <c r="C42" s="41" t="s">
        <v>175</v>
      </c>
      <c r="D42" s="41" t="s">
        <v>1171</v>
      </c>
      <c r="E42" s="41">
        <v>2</v>
      </c>
      <c r="F42" s="41" t="s">
        <v>1193</v>
      </c>
    </row>
    <row r="43" spans="2:6" x14ac:dyDescent="0.3">
      <c r="B43" s="41">
        <v>23</v>
      </c>
      <c r="C43" s="41" t="s">
        <v>175</v>
      </c>
      <c r="D43" s="41" t="s">
        <v>1171</v>
      </c>
      <c r="E43" s="41">
        <v>3</v>
      </c>
      <c r="F43" s="41" t="s">
        <v>1194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2" tint="-0.249977111117893"/>
    <pageSetUpPr fitToPage="1"/>
  </sheetPr>
  <dimension ref="B2:F32"/>
  <sheetViews>
    <sheetView showGridLines="0" view="pageLayout" topLeftCell="C6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1195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1196</v>
      </c>
      <c r="C4" s="22">
        <v>15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10</v>
      </c>
      <c r="E8" s="38" t="s">
        <v>1197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1198</v>
      </c>
      <c r="D11" s="40">
        <v>3</v>
      </c>
    </row>
    <row r="12" spans="2:6" x14ac:dyDescent="0.3">
      <c r="B12" s="39">
        <v>2</v>
      </c>
      <c r="C12" s="39" t="s">
        <v>1199</v>
      </c>
      <c r="D12" s="40">
        <v>3</v>
      </c>
    </row>
    <row r="13" spans="2:6" x14ac:dyDescent="0.3">
      <c r="B13" s="39">
        <v>3</v>
      </c>
      <c r="C13" s="39" t="s">
        <v>1200</v>
      </c>
      <c r="D13" s="40">
        <v>5</v>
      </c>
    </row>
    <row r="14" spans="2:6" x14ac:dyDescent="0.3">
      <c r="B14" s="41">
        <v>4</v>
      </c>
      <c r="C14" s="39" t="s">
        <v>1201</v>
      </c>
      <c r="D14" s="40">
        <v>4</v>
      </c>
    </row>
    <row r="15" spans="2:6" x14ac:dyDescent="0.3">
      <c r="C15" s="42" t="s">
        <v>150</v>
      </c>
      <c r="D15" s="43">
        <f>SUM(D11:D14)</f>
        <v>15</v>
      </c>
    </row>
    <row r="17" spans="2:6" x14ac:dyDescent="0.3">
      <c r="B17" s="7" t="s">
        <v>197</v>
      </c>
      <c r="C17" s="7" t="s">
        <v>151</v>
      </c>
      <c r="D17" s="7" t="s">
        <v>215</v>
      </c>
      <c r="E17" s="7" t="s">
        <v>216</v>
      </c>
      <c r="F17" s="7" t="s">
        <v>217</v>
      </c>
    </row>
    <row r="18" spans="2:6" x14ac:dyDescent="0.3">
      <c r="B18" s="41">
        <v>1</v>
      </c>
      <c r="C18" s="41" t="s">
        <v>176</v>
      </c>
      <c r="D18" s="41" t="s">
        <v>1198</v>
      </c>
      <c r="E18" s="41">
        <v>1</v>
      </c>
      <c r="F18" s="41" t="s">
        <v>1202</v>
      </c>
    </row>
    <row r="19" spans="2:6" x14ac:dyDescent="0.3">
      <c r="B19" s="41">
        <v>2</v>
      </c>
      <c r="C19" s="41" t="s">
        <v>176</v>
      </c>
      <c r="D19" s="41" t="s">
        <v>1198</v>
      </c>
      <c r="E19" s="41">
        <v>2</v>
      </c>
      <c r="F19" s="41" t="s">
        <v>1203</v>
      </c>
    </row>
    <row r="20" spans="2:6" x14ac:dyDescent="0.3">
      <c r="B20" s="41">
        <v>3</v>
      </c>
      <c r="C20" s="41" t="s">
        <v>176</v>
      </c>
      <c r="D20" s="41" t="s">
        <v>1198</v>
      </c>
      <c r="E20" s="41">
        <v>3</v>
      </c>
      <c r="F20" s="41" t="s">
        <v>1204</v>
      </c>
    </row>
    <row r="21" spans="2:6" x14ac:dyDescent="0.3">
      <c r="B21" s="41">
        <v>4</v>
      </c>
      <c r="C21" s="41" t="s">
        <v>176</v>
      </c>
      <c r="D21" s="41" t="s">
        <v>1199</v>
      </c>
      <c r="E21" s="41">
        <v>1</v>
      </c>
      <c r="F21" s="41" t="s">
        <v>1205</v>
      </c>
    </row>
    <row r="22" spans="2:6" x14ac:dyDescent="0.3">
      <c r="B22" s="41">
        <v>5</v>
      </c>
      <c r="C22" s="41" t="s">
        <v>176</v>
      </c>
      <c r="D22" s="41" t="s">
        <v>1199</v>
      </c>
      <c r="E22" s="41">
        <v>2</v>
      </c>
      <c r="F22" s="41" t="s">
        <v>1206</v>
      </c>
    </row>
    <row r="23" spans="2:6" x14ac:dyDescent="0.3">
      <c r="B23" s="41">
        <v>6</v>
      </c>
      <c r="C23" s="41" t="s">
        <v>176</v>
      </c>
      <c r="D23" s="41" t="s">
        <v>1199</v>
      </c>
      <c r="E23" s="41">
        <v>3</v>
      </c>
      <c r="F23" s="41" t="s">
        <v>1207</v>
      </c>
    </row>
    <row r="24" spans="2:6" x14ac:dyDescent="0.3">
      <c r="B24" s="41">
        <v>7</v>
      </c>
      <c r="C24" s="41" t="s">
        <v>176</v>
      </c>
      <c r="D24" s="41" t="s">
        <v>1200</v>
      </c>
      <c r="E24" s="41">
        <v>1</v>
      </c>
      <c r="F24" s="41" t="s">
        <v>1208</v>
      </c>
    </row>
    <row r="25" spans="2:6" x14ac:dyDescent="0.3">
      <c r="B25" s="41">
        <v>8</v>
      </c>
      <c r="C25" s="41" t="s">
        <v>176</v>
      </c>
      <c r="D25" s="41" t="s">
        <v>1200</v>
      </c>
      <c r="E25" s="41">
        <v>2</v>
      </c>
      <c r="F25" s="41" t="s">
        <v>1209</v>
      </c>
    </row>
    <row r="26" spans="2:6" x14ac:dyDescent="0.3">
      <c r="B26" s="41">
        <v>9</v>
      </c>
      <c r="C26" s="41" t="s">
        <v>176</v>
      </c>
      <c r="D26" s="41" t="s">
        <v>1200</v>
      </c>
      <c r="E26" s="41">
        <v>3</v>
      </c>
      <c r="F26" s="41" t="s">
        <v>1210</v>
      </c>
    </row>
    <row r="27" spans="2:6" x14ac:dyDescent="0.3">
      <c r="B27" s="41">
        <v>10</v>
      </c>
      <c r="C27" s="41" t="s">
        <v>176</v>
      </c>
      <c r="D27" s="41" t="s">
        <v>1200</v>
      </c>
      <c r="E27" s="41">
        <v>4</v>
      </c>
      <c r="F27" s="41" t="s">
        <v>1211</v>
      </c>
    </row>
    <row r="28" spans="2:6" x14ac:dyDescent="0.3">
      <c r="B28" s="41">
        <v>11</v>
      </c>
      <c r="C28" s="41" t="s">
        <v>176</v>
      </c>
      <c r="D28" s="41" t="s">
        <v>1200</v>
      </c>
      <c r="E28" s="41">
        <v>5</v>
      </c>
      <c r="F28" s="41" t="s">
        <v>1212</v>
      </c>
    </row>
    <row r="29" spans="2:6" x14ac:dyDescent="0.3">
      <c r="B29" s="41">
        <v>12</v>
      </c>
      <c r="C29" s="41" t="s">
        <v>176</v>
      </c>
      <c r="D29" s="41" t="s">
        <v>1201</v>
      </c>
      <c r="E29" s="41">
        <v>1</v>
      </c>
      <c r="F29" s="41" t="s">
        <v>1213</v>
      </c>
    </row>
    <row r="30" spans="2:6" x14ac:dyDescent="0.3">
      <c r="B30" s="41">
        <v>13</v>
      </c>
      <c r="C30" s="41" t="s">
        <v>176</v>
      </c>
      <c r="D30" s="41" t="s">
        <v>1201</v>
      </c>
      <c r="E30" s="41">
        <v>2</v>
      </c>
      <c r="F30" s="41" t="s">
        <v>1214</v>
      </c>
    </row>
    <row r="31" spans="2:6" x14ac:dyDescent="0.3">
      <c r="B31" s="41">
        <v>14</v>
      </c>
      <c r="C31" s="41" t="s">
        <v>176</v>
      </c>
      <c r="D31" s="41" t="s">
        <v>1201</v>
      </c>
      <c r="E31" s="41">
        <v>3</v>
      </c>
      <c r="F31" s="41" t="s">
        <v>1215</v>
      </c>
    </row>
    <row r="32" spans="2:6" x14ac:dyDescent="0.3">
      <c r="B32" s="41">
        <v>15</v>
      </c>
      <c r="C32" s="41" t="s">
        <v>176</v>
      </c>
      <c r="D32" s="41" t="s">
        <v>1201</v>
      </c>
      <c r="E32" s="41">
        <v>4</v>
      </c>
      <c r="F32" s="41" t="s">
        <v>1216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2" tint="-0.249977111117893"/>
    <pageSetUpPr fitToPage="1"/>
  </sheetPr>
  <dimension ref="B2:F79"/>
  <sheetViews>
    <sheetView showGridLines="0" view="pageLayout" topLeftCell="A18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1217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1218</v>
      </c>
      <c r="C4" s="22">
        <v>50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45</v>
      </c>
      <c r="E8" s="38" t="s">
        <v>1219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1220</v>
      </c>
      <c r="D11" s="40">
        <v>3</v>
      </c>
    </row>
    <row r="12" spans="2:6" x14ac:dyDescent="0.3">
      <c r="B12" s="39">
        <v>2</v>
      </c>
      <c r="C12" s="39" t="s">
        <v>1221</v>
      </c>
      <c r="D12" s="40">
        <v>3</v>
      </c>
    </row>
    <row r="13" spans="2:6" x14ac:dyDescent="0.3">
      <c r="B13" s="39">
        <v>3</v>
      </c>
      <c r="C13" s="39" t="s">
        <v>1222</v>
      </c>
      <c r="D13" s="40">
        <v>3</v>
      </c>
    </row>
    <row r="14" spans="2:6" x14ac:dyDescent="0.3">
      <c r="B14" s="39">
        <v>4</v>
      </c>
      <c r="C14" s="39" t="s">
        <v>1223</v>
      </c>
      <c r="D14" s="40">
        <v>3</v>
      </c>
    </row>
    <row r="15" spans="2:6" x14ac:dyDescent="0.3">
      <c r="B15" s="39">
        <v>5</v>
      </c>
      <c r="C15" s="39" t="s">
        <v>1224</v>
      </c>
      <c r="D15" s="40">
        <v>3</v>
      </c>
    </row>
    <row r="16" spans="2:6" x14ac:dyDescent="0.3">
      <c r="B16" s="39">
        <v>6</v>
      </c>
      <c r="C16" s="39" t="s">
        <v>1225</v>
      </c>
      <c r="D16" s="40">
        <v>3</v>
      </c>
    </row>
    <row r="17" spans="2:6" x14ac:dyDescent="0.3">
      <c r="B17" s="39">
        <v>7</v>
      </c>
      <c r="C17" s="39" t="s">
        <v>1226</v>
      </c>
      <c r="D17" s="40">
        <v>3</v>
      </c>
    </row>
    <row r="18" spans="2:6" x14ac:dyDescent="0.3">
      <c r="B18" s="39">
        <v>8</v>
      </c>
      <c r="C18" s="39" t="s">
        <v>210</v>
      </c>
      <c r="D18" s="40">
        <v>5</v>
      </c>
    </row>
    <row r="19" spans="2:6" x14ac:dyDescent="0.3">
      <c r="B19" s="39">
        <v>9</v>
      </c>
      <c r="C19" s="39" t="s">
        <v>1227</v>
      </c>
      <c r="D19" s="40">
        <v>3</v>
      </c>
    </row>
    <row r="20" spans="2:6" x14ac:dyDescent="0.3">
      <c r="B20" s="39">
        <v>10</v>
      </c>
      <c r="C20" s="39" t="s">
        <v>1228</v>
      </c>
      <c r="D20" s="40">
        <v>3</v>
      </c>
    </row>
    <row r="21" spans="2:6" x14ac:dyDescent="0.3">
      <c r="B21" s="39">
        <v>11</v>
      </c>
      <c r="C21" s="39" t="s">
        <v>1229</v>
      </c>
      <c r="D21" s="40">
        <v>3</v>
      </c>
    </row>
    <row r="22" spans="2:6" x14ac:dyDescent="0.3">
      <c r="B22" s="39">
        <v>12</v>
      </c>
      <c r="C22" s="39" t="s">
        <v>1230</v>
      </c>
      <c r="D22" s="40">
        <v>3</v>
      </c>
    </row>
    <row r="23" spans="2:6" x14ac:dyDescent="0.3">
      <c r="B23" s="39">
        <v>13</v>
      </c>
      <c r="C23" s="39" t="s">
        <v>1231</v>
      </c>
      <c r="D23" s="40">
        <v>3</v>
      </c>
    </row>
    <row r="24" spans="2:6" x14ac:dyDescent="0.3">
      <c r="B24" s="39">
        <v>14</v>
      </c>
      <c r="C24" s="39" t="s">
        <v>1232</v>
      </c>
      <c r="D24" s="40">
        <v>3</v>
      </c>
    </row>
    <row r="25" spans="2:6" x14ac:dyDescent="0.3">
      <c r="B25" s="39">
        <v>15</v>
      </c>
      <c r="C25" s="39" t="s">
        <v>1233</v>
      </c>
      <c r="D25" s="40">
        <v>3</v>
      </c>
    </row>
    <row r="26" spans="2:6" x14ac:dyDescent="0.3">
      <c r="B26" s="41">
        <v>16</v>
      </c>
      <c r="C26" s="39" t="s">
        <v>1234</v>
      </c>
      <c r="D26" s="40">
        <v>3</v>
      </c>
    </row>
    <row r="27" spans="2:6" x14ac:dyDescent="0.3">
      <c r="C27" s="42" t="s">
        <v>150</v>
      </c>
      <c r="D27" s="43">
        <f>SUM(D11:D26)</f>
        <v>50</v>
      </c>
    </row>
    <row r="29" spans="2:6" x14ac:dyDescent="0.3">
      <c r="B29" s="7" t="s">
        <v>197</v>
      </c>
      <c r="C29" s="7" t="s">
        <v>151</v>
      </c>
      <c r="D29" s="7" t="s">
        <v>215</v>
      </c>
      <c r="E29" s="7" t="s">
        <v>216</v>
      </c>
      <c r="F29" s="7" t="s">
        <v>217</v>
      </c>
    </row>
    <row r="30" spans="2:6" x14ac:dyDescent="0.3">
      <c r="B30" s="41">
        <v>1</v>
      </c>
      <c r="C30" s="41" t="s">
        <v>177</v>
      </c>
      <c r="D30" s="41" t="s">
        <v>1220</v>
      </c>
      <c r="E30" s="41">
        <v>1</v>
      </c>
      <c r="F30" s="41" t="s">
        <v>1235</v>
      </c>
    </row>
    <row r="31" spans="2:6" x14ac:dyDescent="0.3">
      <c r="B31" s="41">
        <v>2</v>
      </c>
      <c r="C31" s="41" t="s">
        <v>177</v>
      </c>
      <c r="D31" s="41" t="s">
        <v>1220</v>
      </c>
      <c r="E31" s="41">
        <v>2</v>
      </c>
      <c r="F31" s="41" t="s">
        <v>1236</v>
      </c>
    </row>
    <row r="32" spans="2:6" x14ac:dyDescent="0.3">
      <c r="B32" s="41">
        <v>3</v>
      </c>
      <c r="C32" s="41" t="s">
        <v>177</v>
      </c>
      <c r="D32" s="41" t="s">
        <v>1220</v>
      </c>
      <c r="E32" s="41">
        <v>3</v>
      </c>
      <c r="F32" s="41" t="s">
        <v>1237</v>
      </c>
    </row>
    <row r="33" spans="2:6" x14ac:dyDescent="0.3">
      <c r="B33" s="41">
        <v>4</v>
      </c>
      <c r="C33" s="41" t="s">
        <v>177</v>
      </c>
      <c r="D33" s="41" t="s">
        <v>1221</v>
      </c>
      <c r="E33" s="41">
        <v>1</v>
      </c>
      <c r="F33" s="41" t="s">
        <v>1238</v>
      </c>
    </row>
    <row r="34" spans="2:6" x14ac:dyDescent="0.3">
      <c r="B34" s="41">
        <v>5</v>
      </c>
      <c r="C34" s="41" t="s">
        <v>177</v>
      </c>
      <c r="D34" s="41" t="s">
        <v>1221</v>
      </c>
      <c r="E34" s="41">
        <v>2</v>
      </c>
      <c r="F34" s="41" t="s">
        <v>1239</v>
      </c>
    </row>
    <row r="35" spans="2:6" x14ac:dyDescent="0.3">
      <c r="B35" s="41">
        <v>6</v>
      </c>
      <c r="C35" s="41" t="s">
        <v>177</v>
      </c>
      <c r="D35" s="41" t="s">
        <v>1221</v>
      </c>
      <c r="E35" s="41">
        <v>3</v>
      </c>
      <c r="F35" s="41" t="s">
        <v>1240</v>
      </c>
    </row>
    <row r="36" spans="2:6" x14ac:dyDescent="0.3">
      <c r="B36" s="41">
        <v>7</v>
      </c>
      <c r="C36" s="41" t="s">
        <v>177</v>
      </c>
      <c r="D36" s="41" t="s">
        <v>1222</v>
      </c>
      <c r="E36" s="41">
        <v>1</v>
      </c>
      <c r="F36" s="41" t="s">
        <v>1241</v>
      </c>
    </row>
    <row r="37" spans="2:6" x14ac:dyDescent="0.3">
      <c r="B37" s="41">
        <v>8</v>
      </c>
      <c r="C37" s="41" t="s">
        <v>177</v>
      </c>
      <c r="D37" s="41" t="s">
        <v>1222</v>
      </c>
      <c r="E37" s="41">
        <v>2</v>
      </c>
      <c r="F37" s="41" t="s">
        <v>1242</v>
      </c>
    </row>
    <row r="38" spans="2:6" x14ac:dyDescent="0.3">
      <c r="B38" s="41">
        <v>9</v>
      </c>
      <c r="C38" s="41" t="s">
        <v>177</v>
      </c>
      <c r="D38" s="41" t="s">
        <v>1222</v>
      </c>
      <c r="E38" s="41">
        <v>3</v>
      </c>
      <c r="F38" s="41" t="s">
        <v>1243</v>
      </c>
    </row>
    <row r="39" spans="2:6" x14ac:dyDescent="0.3">
      <c r="B39" s="41">
        <v>10</v>
      </c>
      <c r="C39" s="41" t="s">
        <v>177</v>
      </c>
      <c r="D39" s="41" t="s">
        <v>1223</v>
      </c>
      <c r="E39" s="41">
        <v>1</v>
      </c>
      <c r="F39" s="41" t="s">
        <v>1244</v>
      </c>
    </row>
    <row r="40" spans="2:6" x14ac:dyDescent="0.3">
      <c r="B40" s="41">
        <v>11</v>
      </c>
      <c r="C40" s="41" t="s">
        <v>177</v>
      </c>
      <c r="D40" s="41" t="s">
        <v>1223</v>
      </c>
      <c r="E40" s="41">
        <v>2</v>
      </c>
      <c r="F40" s="41" t="s">
        <v>1245</v>
      </c>
    </row>
    <row r="41" spans="2:6" x14ac:dyDescent="0.3">
      <c r="B41" s="41">
        <v>12</v>
      </c>
      <c r="C41" s="41" t="s">
        <v>177</v>
      </c>
      <c r="D41" s="41" t="s">
        <v>1223</v>
      </c>
      <c r="E41" s="41">
        <v>3</v>
      </c>
      <c r="F41" s="41" t="s">
        <v>1246</v>
      </c>
    </row>
    <row r="42" spans="2:6" x14ac:dyDescent="0.3">
      <c r="B42" s="41">
        <v>13</v>
      </c>
      <c r="C42" s="41" t="s">
        <v>177</v>
      </c>
      <c r="D42" s="41" t="s">
        <v>1224</v>
      </c>
      <c r="E42" s="41">
        <v>1</v>
      </c>
      <c r="F42" s="41" t="s">
        <v>1247</v>
      </c>
    </row>
    <row r="43" spans="2:6" x14ac:dyDescent="0.3">
      <c r="B43" s="41">
        <v>14</v>
      </c>
      <c r="C43" s="41" t="s">
        <v>177</v>
      </c>
      <c r="D43" s="41" t="s">
        <v>1224</v>
      </c>
      <c r="E43" s="41">
        <v>2</v>
      </c>
      <c r="F43" s="41" t="s">
        <v>1248</v>
      </c>
    </row>
    <row r="44" spans="2:6" x14ac:dyDescent="0.3">
      <c r="B44" s="41">
        <v>15</v>
      </c>
      <c r="C44" s="41" t="s">
        <v>177</v>
      </c>
      <c r="D44" s="41" t="s">
        <v>1224</v>
      </c>
      <c r="E44" s="41">
        <v>3</v>
      </c>
      <c r="F44" s="41" t="s">
        <v>1249</v>
      </c>
    </row>
    <row r="45" spans="2:6" x14ac:dyDescent="0.3">
      <c r="B45" s="41">
        <v>16</v>
      </c>
      <c r="C45" s="41" t="s">
        <v>177</v>
      </c>
      <c r="D45" s="41" t="s">
        <v>1225</v>
      </c>
      <c r="E45" s="41">
        <v>1</v>
      </c>
      <c r="F45" s="41" t="s">
        <v>1250</v>
      </c>
    </row>
    <row r="46" spans="2:6" x14ac:dyDescent="0.3">
      <c r="B46" s="41">
        <v>17</v>
      </c>
      <c r="C46" s="41" t="s">
        <v>177</v>
      </c>
      <c r="D46" s="41" t="s">
        <v>1225</v>
      </c>
      <c r="E46" s="41">
        <v>2</v>
      </c>
      <c r="F46" s="41" t="s">
        <v>1251</v>
      </c>
    </row>
    <row r="47" spans="2:6" x14ac:dyDescent="0.3">
      <c r="B47" s="41">
        <v>18</v>
      </c>
      <c r="C47" s="41" t="s">
        <v>177</v>
      </c>
      <c r="D47" s="41" t="s">
        <v>1225</v>
      </c>
      <c r="E47" s="41">
        <v>3</v>
      </c>
      <c r="F47" s="41" t="s">
        <v>1252</v>
      </c>
    </row>
    <row r="48" spans="2:6" x14ac:dyDescent="0.3">
      <c r="B48" s="41">
        <v>19</v>
      </c>
      <c r="C48" s="41" t="s">
        <v>177</v>
      </c>
      <c r="D48" s="41" t="s">
        <v>1226</v>
      </c>
      <c r="E48" s="41">
        <v>1</v>
      </c>
      <c r="F48" s="41" t="s">
        <v>1253</v>
      </c>
    </row>
    <row r="49" spans="2:6" x14ac:dyDescent="0.3">
      <c r="B49" s="41">
        <v>20</v>
      </c>
      <c r="C49" s="41" t="s">
        <v>177</v>
      </c>
      <c r="D49" s="41" t="s">
        <v>1226</v>
      </c>
      <c r="E49" s="41">
        <v>2</v>
      </c>
      <c r="F49" s="41" t="s">
        <v>1254</v>
      </c>
    </row>
    <row r="50" spans="2:6" x14ac:dyDescent="0.3">
      <c r="B50" s="41">
        <v>21</v>
      </c>
      <c r="C50" s="41" t="s">
        <v>177</v>
      </c>
      <c r="D50" s="41" t="s">
        <v>1226</v>
      </c>
      <c r="E50" s="41">
        <v>3</v>
      </c>
      <c r="F50" s="41" t="s">
        <v>1255</v>
      </c>
    </row>
    <row r="51" spans="2:6" x14ac:dyDescent="0.3">
      <c r="B51" s="41">
        <v>22</v>
      </c>
      <c r="C51" s="41" t="s">
        <v>177</v>
      </c>
      <c r="D51" s="41" t="s">
        <v>210</v>
      </c>
      <c r="E51" s="41">
        <v>1</v>
      </c>
      <c r="F51" s="41" t="s">
        <v>265</v>
      </c>
    </row>
    <row r="52" spans="2:6" x14ac:dyDescent="0.3">
      <c r="B52" s="41">
        <v>23</v>
      </c>
      <c r="C52" s="41" t="s">
        <v>177</v>
      </c>
      <c r="D52" s="41" t="s">
        <v>210</v>
      </c>
      <c r="E52" s="41">
        <v>2</v>
      </c>
      <c r="F52" s="41" t="s">
        <v>266</v>
      </c>
    </row>
    <row r="53" spans="2:6" x14ac:dyDescent="0.3">
      <c r="B53" s="41">
        <v>24</v>
      </c>
      <c r="C53" s="41" t="s">
        <v>177</v>
      </c>
      <c r="D53" s="41" t="s">
        <v>210</v>
      </c>
      <c r="E53" s="41">
        <v>3</v>
      </c>
      <c r="F53" s="41" t="s">
        <v>267</v>
      </c>
    </row>
    <row r="54" spans="2:6" x14ac:dyDescent="0.3">
      <c r="B54" s="41">
        <v>25</v>
      </c>
      <c r="C54" s="41" t="s">
        <v>177</v>
      </c>
      <c r="D54" s="41" t="s">
        <v>210</v>
      </c>
      <c r="E54" s="41">
        <v>4</v>
      </c>
      <c r="F54" s="41" t="s">
        <v>268</v>
      </c>
    </row>
    <row r="55" spans="2:6" x14ac:dyDescent="0.3">
      <c r="B55" s="41">
        <v>26</v>
      </c>
      <c r="C55" s="41" t="s">
        <v>177</v>
      </c>
      <c r="D55" s="41" t="s">
        <v>210</v>
      </c>
      <c r="E55" s="41">
        <v>5</v>
      </c>
      <c r="F55" s="41" t="s">
        <v>269</v>
      </c>
    </row>
    <row r="56" spans="2:6" x14ac:dyDescent="0.3">
      <c r="B56" s="41">
        <v>27</v>
      </c>
      <c r="C56" s="41" t="s">
        <v>177</v>
      </c>
      <c r="D56" s="41" t="s">
        <v>1227</v>
      </c>
      <c r="E56" s="41">
        <v>1</v>
      </c>
      <c r="F56" s="41" t="s">
        <v>1256</v>
      </c>
    </row>
    <row r="57" spans="2:6" x14ac:dyDescent="0.3">
      <c r="B57" s="41">
        <v>28</v>
      </c>
      <c r="C57" s="41" t="s">
        <v>177</v>
      </c>
      <c r="D57" s="41" t="s">
        <v>1227</v>
      </c>
      <c r="E57" s="41">
        <v>2</v>
      </c>
      <c r="F57" s="41" t="s">
        <v>1257</v>
      </c>
    </row>
    <row r="58" spans="2:6" x14ac:dyDescent="0.3">
      <c r="B58" s="41">
        <v>29</v>
      </c>
      <c r="C58" s="41" t="s">
        <v>177</v>
      </c>
      <c r="D58" s="41" t="s">
        <v>1227</v>
      </c>
      <c r="E58" s="41">
        <v>3</v>
      </c>
      <c r="F58" s="41" t="s">
        <v>1258</v>
      </c>
    </row>
    <row r="59" spans="2:6" x14ac:dyDescent="0.3">
      <c r="B59" s="41">
        <v>30</v>
      </c>
      <c r="C59" s="41" t="s">
        <v>177</v>
      </c>
      <c r="D59" s="41" t="s">
        <v>1228</v>
      </c>
      <c r="E59" s="41">
        <v>1</v>
      </c>
      <c r="F59" s="41" t="s">
        <v>1259</v>
      </c>
    </row>
    <row r="60" spans="2:6" x14ac:dyDescent="0.3">
      <c r="B60" s="41">
        <v>31</v>
      </c>
      <c r="C60" s="41" t="s">
        <v>177</v>
      </c>
      <c r="D60" s="41" t="s">
        <v>1228</v>
      </c>
      <c r="E60" s="41">
        <v>2</v>
      </c>
      <c r="F60" s="41" t="s">
        <v>1260</v>
      </c>
    </row>
    <row r="61" spans="2:6" x14ac:dyDescent="0.3">
      <c r="B61" s="41">
        <v>32</v>
      </c>
      <c r="C61" s="41" t="s">
        <v>177</v>
      </c>
      <c r="D61" s="41" t="s">
        <v>1228</v>
      </c>
      <c r="E61" s="41">
        <v>3</v>
      </c>
      <c r="F61" s="41" t="s">
        <v>1261</v>
      </c>
    </row>
    <row r="62" spans="2:6" x14ac:dyDescent="0.3">
      <c r="B62" s="41">
        <v>33</v>
      </c>
      <c r="C62" s="41" t="s">
        <v>177</v>
      </c>
      <c r="D62" s="41" t="s">
        <v>1229</v>
      </c>
      <c r="E62" s="41">
        <v>1</v>
      </c>
      <c r="F62" s="41" t="s">
        <v>1262</v>
      </c>
    </row>
    <row r="63" spans="2:6" x14ac:dyDescent="0.3">
      <c r="B63" s="41">
        <v>34</v>
      </c>
      <c r="C63" s="41" t="s">
        <v>177</v>
      </c>
      <c r="D63" s="41" t="s">
        <v>1229</v>
      </c>
      <c r="E63" s="41">
        <v>2</v>
      </c>
      <c r="F63" s="41" t="s">
        <v>1263</v>
      </c>
    </row>
    <row r="64" spans="2:6" x14ac:dyDescent="0.3">
      <c r="B64" s="41">
        <v>35</v>
      </c>
      <c r="C64" s="41" t="s">
        <v>177</v>
      </c>
      <c r="D64" s="41" t="s">
        <v>1229</v>
      </c>
      <c r="E64" s="41">
        <v>3</v>
      </c>
      <c r="F64" s="41" t="s">
        <v>1264</v>
      </c>
    </row>
    <row r="65" spans="2:6" x14ac:dyDescent="0.3">
      <c r="B65" s="41">
        <v>36</v>
      </c>
      <c r="C65" s="41" t="s">
        <v>177</v>
      </c>
      <c r="D65" s="41" t="s">
        <v>1230</v>
      </c>
      <c r="E65" s="41">
        <v>1</v>
      </c>
      <c r="F65" s="41" t="s">
        <v>1265</v>
      </c>
    </row>
    <row r="66" spans="2:6" x14ac:dyDescent="0.3">
      <c r="B66" s="41">
        <v>37</v>
      </c>
      <c r="C66" s="41" t="s">
        <v>177</v>
      </c>
      <c r="D66" s="41" t="s">
        <v>1230</v>
      </c>
      <c r="E66" s="41">
        <v>2</v>
      </c>
      <c r="F66" s="41" t="s">
        <v>1266</v>
      </c>
    </row>
    <row r="67" spans="2:6" x14ac:dyDescent="0.3">
      <c r="B67" s="41">
        <v>38</v>
      </c>
      <c r="C67" s="41" t="s">
        <v>177</v>
      </c>
      <c r="D67" s="41" t="s">
        <v>1230</v>
      </c>
      <c r="E67" s="41">
        <v>3</v>
      </c>
      <c r="F67" s="41" t="s">
        <v>1267</v>
      </c>
    </row>
    <row r="68" spans="2:6" x14ac:dyDescent="0.3">
      <c r="B68" s="41">
        <v>39</v>
      </c>
      <c r="C68" s="41" t="s">
        <v>177</v>
      </c>
      <c r="D68" s="41" t="s">
        <v>1231</v>
      </c>
      <c r="E68" s="41">
        <v>1</v>
      </c>
      <c r="F68" s="41" t="s">
        <v>1268</v>
      </c>
    </row>
    <row r="69" spans="2:6" x14ac:dyDescent="0.3">
      <c r="B69" s="41">
        <v>40</v>
      </c>
      <c r="C69" s="41" t="s">
        <v>177</v>
      </c>
      <c r="D69" s="41" t="s">
        <v>1231</v>
      </c>
      <c r="E69" s="41">
        <v>2</v>
      </c>
      <c r="F69" s="41" t="s">
        <v>1269</v>
      </c>
    </row>
    <row r="70" spans="2:6" x14ac:dyDescent="0.3">
      <c r="B70" s="41">
        <v>41</v>
      </c>
      <c r="C70" s="41" t="s">
        <v>177</v>
      </c>
      <c r="D70" s="41" t="s">
        <v>1231</v>
      </c>
      <c r="E70" s="41">
        <v>3</v>
      </c>
      <c r="F70" s="41" t="s">
        <v>1270</v>
      </c>
    </row>
    <row r="71" spans="2:6" x14ac:dyDescent="0.3">
      <c r="B71" s="41">
        <v>42</v>
      </c>
      <c r="C71" s="41" t="s">
        <v>177</v>
      </c>
      <c r="D71" s="41" t="s">
        <v>1232</v>
      </c>
      <c r="E71" s="41">
        <v>1</v>
      </c>
      <c r="F71" s="41" t="s">
        <v>1271</v>
      </c>
    </row>
    <row r="72" spans="2:6" x14ac:dyDescent="0.3">
      <c r="B72" s="41">
        <v>43</v>
      </c>
      <c r="C72" s="41" t="s">
        <v>177</v>
      </c>
      <c r="D72" s="41" t="s">
        <v>1232</v>
      </c>
      <c r="E72" s="41">
        <v>2</v>
      </c>
      <c r="F72" s="41" t="s">
        <v>1272</v>
      </c>
    </row>
    <row r="73" spans="2:6" x14ac:dyDescent="0.3">
      <c r="B73" s="41">
        <v>44</v>
      </c>
      <c r="C73" s="41" t="s">
        <v>177</v>
      </c>
      <c r="D73" s="41" t="s">
        <v>1232</v>
      </c>
      <c r="E73" s="41">
        <v>3</v>
      </c>
      <c r="F73" s="41" t="s">
        <v>1273</v>
      </c>
    </row>
    <row r="74" spans="2:6" x14ac:dyDescent="0.3">
      <c r="B74" s="41">
        <v>45</v>
      </c>
      <c r="C74" s="41" t="s">
        <v>177</v>
      </c>
      <c r="D74" s="41" t="s">
        <v>1233</v>
      </c>
      <c r="E74" s="41">
        <v>1</v>
      </c>
      <c r="F74" s="41" t="s">
        <v>1274</v>
      </c>
    </row>
    <row r="75" spans="2:6" x14ac:dyDescent="0.3">
      <c r="B75" s="41">
        <v>46</v>
      </c>
      <c r="C75" s="41" t="s">
        <v>177</v>
      </c>
      <c r="D75" s="41" t="s">
        <v>1233</v>
      </c>
      <c r="E75" s="41">
        <v>2</v>
      </c>
      <c r="F75" s="41" t="s">
        <v>1275</v>
      </c>
    </row>
    <row r="76" spans="2:6" x14ac:dyDescent="0.3">
      <c r="B76" s="41">
        <v>47</v>
      </c>
      <c r="C76" s="41" t="s">
        <v>177</v>
      </c>
      <c r="D76" s="41" t="s">
        <v>1233</v>
      </c>
      <c r="E76" s="41">
        <v>3</v>
      </c>
      <c r="F76" s="41" t="s">
        <v>1276</v>
      </c>
    </row>
    <row r="77" spans="2:6" x14ac:dyDescent="0.3">
      <c r="B77" s="41">
        <v>48</v>
      </c>
      <c r="C77" s="41" t="s">
        <v>177</v>
      </c>
      <c r="D77" s="41" t="s">
        <v>1234</v>
      </c>
      <c r="E77" s="41">
        <v>1</v>
      </c>
      <c r="F77" s="41" t="s">
        <v>1277</v>
      </c>
    </row>
    <row r="78" spans="2:6" x14ac:dyDescent="0.3">
      <c r="B78" s="41">
        <v>49</v>
      </c>
      <c r="C78" s="41" t="s">
        <v>177</v>
      </c>
      <c r="D78" s="41" t="s">
        <v>1234</v>
      </c>
      <c r="E78" s="41">
        <v>2</v>
      </c>
      <c r="F78" s="41" t="s">
        <v>1278</v>
      </c>
    </row>
    <row r="79" spans="2:6" x14ac:dyDescent="0.3">
      <c r="B79" s="41">
        <v>50</v>
      </c>
      <c r="C79" s="41" t="s">
        <v>177</v>
      </c>
      <c r="D79" s="41" t="s">
        <v>1234</v>
      </c>
      <c r="E79" s="41">
        <v>3</v>
      </c>
      <c r="F79" s="41" t="s">
        <v>1279</v>
      </c>
    </row>
  </sheetData>
  <mergeCells count="1">
    <mergeCell ref="B2:F2"/>
  </mergeCells>
  <pageMargins left="0.25" right="0.25" top="0.75" bottom="0.75" header="0.3" footer="0.3"/>
  <pageSetup paperSize="9" scale="65" fitToHeight="0" orientation="landscape" horizontalDpi="300" verticalDpi="300" r:id="rId1"/>
  <headerFooter>
    <oddFooter>&amp;LPulse Oximetry allocation&amp;C&amp;A&amp;R&amp;P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2" tint="-0.249977111117893"/>
    <pageSetUpPr fitToPage="1"/>
  </sheetPr>
  <dimension ref="B2:F63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1280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1281</v>
      </c>
      <c r="C4" s="22">
        <v>35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57">
        <v>5</v>
      </c>
    </row>
    <row r="8" spans="2:6" x14ac:dyDescent="0.3">
      <c r="B8" s="36" t="s">
        <v>147</v>
      </c>
      <c r="C8" s="57">
        <v>30</v>
      </c>
      <c r="E8" s="58" t="s">
        <v>1282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1283</v>
      </c>
      <c r="D11" s="40">
        <v>3</v>
      </c>
    </row>
    <row r="12" spans="2:6" x14ac:dyDescent="0.3">
      <c r="B12" s="39">
        <v>2</v>
      </c>
      <c r="C12" s="39" t="s">
        <v>1284</v>
      </c>
      <c r="D12" s="40">
        <v>3</v>
      </c>
    </row>
    <row r="13" spans="2:6" x14ac:dyDescent="0.3">
      <c r="B13" s="39">
        <v>3</v>
      </c>
      <c r="C13" s="39" t="s">
        <v>1285</v>
      </c>
      <c r="D13" s="40">
        <v>3</v>
      </c>
    </row>
    <row r="14" spans="2:6" x14ac:dyDescent="0.3">
      <c r="B14" s="39">
        <v>4</v>
      </c>
      <c r="C14" s="39" t="s">
        <v>1286</v>
      </c>
      <c r="D14" s="40">
        <v>3</v>
      </c>
    </row>
    <row r="15" spans="2:6" x14ac:dyDescent="0.3">
      <c r="B15" s="39">
        <v>5</v>
      </c>
      <c r="C15" s="39" t="s">
        <v>1287</v>
      </c>
      <c r="D15" s="40">
        <v>3</v>
      </c>
    </row>
    <row r="16" spans="2:6" x14ac:dyDescent="0.3">
      <c r="B16" s="39">
        <v>6</v>
      </c>
      <c r="C16" s="39" t="s">
        <v>211</v>
      </c>
      <c r="D16" s="40">
        <v>5</v>
      </c>
    </row>
    <row r="17" spans="2:6" x14ac:dyDescent="0.3">
      <c r="B17" s="39">
        <v>7</v>
      </c>
      <c r="C17" s="39" t="s">
        <v>1288</v>
      </c>
      <c r="D17" s="40">
        <v>3</v>
      </c>
    </row>
    <row r="18" spans="2:6" x14ac:dyDescent="0.3">
      <c r="B18" s="39">
        <v>8</v>
      </c>
      <c r="C18" s="39" t="s">
        <v>1289</v>
      </c>
      <c r="D18" s="40">
        <v>3</v>
      </c>
    </row>
    <row r="19" spans="2:6" x14ac:dyDescent="0.3">
      <c r="B19" s="39">
        <v>9</v>
      </c>
      <c r="C19" s="39" t="s">
        <v>1290</v>
      </c>
      <c r="D19" s="40">
        <v>3</v>
      </c>
    </row>
    <row r="20" spans="2:6" x14ac:dyDescent="0.3">
      <c r="B20" s="39">
        <v>10</v>
      </c>
      <c r="C20" s="39" t="s">
        <v>1291</v>
      </c>
      <c r="D20" s="40">
        <v>3</v>
      </c>
    </row>
    <row r="21" spans="2:6" x14ac:dyDescent="0.3">
      <c r="B21" s="39">
        <v>11</v>
      </c>
      <c r="C21" s="39" t="s">
        <v>1292</v>
      </c>
      <c r="D21" s="40">
        <v>3</v>
      </c>
    </row>
    <row r="22" spans="2:6" x14ac:dyDescent="0.3">
      <c r="B22" s="129"/>
      <c r="C22" s="129" t="s">
        <v>150</v>
      </c>
      <c r="D22" s="130">
        <f>SUM(D11:D21)</f>
        <v>35</v>
      </c>
    </row>
    <row r="28" spans="2:6" x14ac:dyDescent="0.3">
      <c r="B28" s="7" t="s">
        <v>197</v>
      </c>
      <c r="C28" s="7" t="s">
        <v>151</v>
      </c>
      <c r="D28" s="7" t="s">
        <v>215</v>
      </c>
      <c r="E28" s="7" t="s">
        <v>216</v>
      </c>
      <c r="F28" s="7" t="s">
        <v>217</v>
      </c>
    </row>
    <row r="29" spans="2:6" x14ac:dyDescent="0.3">
      <c r="B29" s="41">
        <v>1</v>
      </c>
      <c r="C29" s="41" t="s">
        <v>178</v>
      </c>
      <c r="D29" s="41" t="s">
        <v>1283</v>
      </c>
      <c r="E29" s="41">
        <v>1</v>
      </c>
      <c r="F29" s="41" t="s">
        <v>1293</v>
      </c>
    </row>
    <row r="30" spans="2:6" x14ac:dyDescent="0.3">
      <c r="B30" s="41">
        <v>2</v>
      </c>
      <c r="C30" s="41" t="s">
        <v>178</v>
      </c>
      <c r="D30" s="41" t="s">
        <v>1283</v>
      </c>
      <c r="E30" s="41">
        <v>2</v>
      </c>
      <c r="F30" s="41" t="s">
        <v>1294</v>
      </c>
    </row>
    <row r="31" spans="2:6" x14ac:dyDescent="0.3">
      <c r="B31" s="41">
        <v>3</v>
      </c>
      <c r="C31" s="41" t="s">
        <v>178</v>
      </c>
      <c r="D31" s="41" t="s">
        <v>1283</v>
      </c>
      <c r="E31" s="41">
        <v>3</v>
      </c>
      <c r="F31" s="41" t="s">
        <v>1295</v>
      </c>
    </row>
    <row r="32" spans="2:6" x14ac:dyDescent="0.3">
      <c r="B32" s="41">
        <v>4</v>
      </c>
      <c r="C32" s="41" t="s">
        <v>178</v>
      </c>
      <c r="D32" s="41" t="s">
        <v>1284</v>
      </c>
      <c r="E32" s="41">
        <v>1</v>
      </c>
      <c r="F32" s="41" t="s">
        <v>1296</v>
      </c>
    </row>
    <row r="33" spans="2:6" x14ac:dyDescent="0.3">
      <c r="B33" s="41">
        <v>5</v>
      </c>
      <c r="C33" s="41" t="s">
        <v>178</v>
      </c>
      <c r="D33" s="41" t="s">
        <v>1284</v>
      </c>
      <c r="E33" s="41">
        <v>2</v>
      </c>
      <c r="F33" s="41" t="s">
        <v>1297</v>
      </c>
    </row>
    <row r="34" spans="2:6" x14ac:dyDescent="0.3">
      <c r="B34" s="41">
        <v>6</v>
      </c>
      <c r="C34" s="41" t="s">
        <v>178</v>
      </c>
      <c r="D34" s="41" t="s">
        <v>1284</v>
      </c>
      <c r="E34" s="41">
        <v>3</v>
      </c>
      <c r="F34" s="41" t="s">
        <v>1298</v>
      </c>
    </row>
    <row r="35" spans="2:6" x14ac:dyDescent="0.3">
      <c r="B35" s="41">
        <v>7</v>
      </c>
      <c r="C35" s="41" t="s">
        <v>178</v>
      </c>
      <c r="D35" s="41" t="s">
        <v>1285</v>
      </c>
      <c r="E35" s="41">
        <v>1</v>
      </c>
      <c r="F35" s="41" t="s">
        <v>1299</v>
      </c>
    </row>
    <row r="36" spans="2:6" x14ac:dyDescent="0.3">
      <c r="B36" s="41">
        <v>8</v>
      </c>
      <c r="C36" s="41" t="s">
        <v>178</v>
      </c>
      <c r="D36" s="41" t="s">
        <v>1285</v>
      </c>
      <c r="E36" s="41">
        <v>2</v>
      </c>
      <c r="F36" s="41" t="s">
        <v>1300</v>
      </c>
    </row>
    <row r="37" spans="2:6" x14ac:dyDescent="0.3">
      <c r="B37" s="41">
        <v>9</v>
      </c>
      <c r="C37" s="41" t="s">
        <v>178</v>
      </c>
      <c r="D37" s="41" t="s">
        <v>1285</v>
      </c>
      <c r="E37" s="41">
        <v>3</v>
      </c>
      <c r="F37" s="41" t="s">
        <v>1301</v>
      </c>
    </row>
    <row r="38" spans="2:6" x14ac:dyDescent="0.3">
      <c r="B38" s="41">
        <v>10</v>
      </c>
      <c r="C38" s="41" t="s">
        <v>178</v>
      </c>
      <c r="D38" s="41" t="s">
        <v>1286</v>
      </c>
      <c r="E38" s="41">
        <v>1</v>
      </c>
      <c r="F38" s="41" t="s">
        <v>1302</v>
      </c>
    </row>
    <row r="39" spans="2:6" x14ac:dyDescent="0.3">
      <c r="B39" s="41">
        <v>11</v>
      </c>
      <c r="C39" s="41" t="s">
        <v>178</v>
      </c>
      <c r="D39" s="41" t="s">
        <v>1286</v>
      </c>
      <c r="E39" s="41">
        <v>2</v>
      </c>
      <c r="F39" s="41" t="s">
        <v>1303</v>
      </c>
    </row>
    <row r="40" spans="2:6" x14ac:dyDescent="0.3">
      <c r="B40" s="41">
        <v>12</v>
      </c>
      <c r="C40" s="41" t="s">
        <v>178</v>
      </c>
      <c r="D40" s="41" t="s">
        <v>1286</v>
      </c>
      <c r="E40" s="41">
        <v>3</v>
      </c>
      <c r="F40" s="41" t="s">
        <v>1304</v>
      </c>
    </row>
    <row r="41" spans="2:6" x14ac:dyDescent="0.3">
      <c r="B41" s="41">
        <v>13</v>
      </c>
      <c r="C41" s="41" t="s">
        <v>178</v>
      </c>
      <c r="D41" s="41" t="s">
        <v>1287</v>
      </c>
      <c r="E41" s="41">
        <v>1</v>
      </c>
      <c r="F41" s="41" t="s">
        <v>1305</v>
      </c>
    </row>
    <row r="42" spans="2:6" x14ac:dyDescent="0.3">
      <c r="B42" s="41">
        <v>14</v>
      </c>
      <c r="C42" s="41" t="s">
        <v>178</v>
      </c>
      <c r="D42" s="41" t="s">
        <v>1287</v>
      </c>
      <c r="E42" s="41">
        <v>2</v>
      </c>
      <c r="F42" s="41" t="s">
        <v>1306</v>
      </c>
    </row>
    <row r="43" spans="2:6" x14ac:dyDescent="0.3">
      <c r="B43" s="41">
        <v>15</v>
      </c>
      <c r="C43" s="41" t="s">
        <v>178</v>
      </c>
      <c r="D43" s="41" t="s">
        <v>1287</v>
      </c>
      <c r="E43" s="41">
        <v>3</v>
      </c>
      <c r="F43" s="41" t="s">
        <v>1307</v>
      </c>
    </row>
    <row r="44" spans="2:6" x14ac:dyDescent="0.3">
      <c r="B44" s="41">
        <v>16</v>
      </c>
      <c r="C44" s="41" t="s">
        <v>178</v>
      </c>
      <c r="D44" s="41" t="s">
        <v>211</v>
      </c>
      <c r="E44" s="41">
        <v>1</v>
      </c>
      <c r="F44" s="41" t="s">
        <v>270</v>
      </c>
    </row>
    <row r="45" spans="2:6" x14ac:dyDescent="0.3">
      <c r="B45" s="41">
        <v>17</v>
      </c>
      <c r="C45" s="41" t="s">
        <v>178</v>
      </c>
      <c r="D45" s="41" t="s">
        <v>211</v>
      </c>
      <c r="E45" s="41">
        <v>2</v>
      </c>
      <c r="F45" s="41" t="s">
        <v>271</v>
      </c>
    </row>
    <row r="46" spans="2:6" x14ac:dyDescent="0.3">
      <c r="B46" s="41">
        <v>18</v>
      </c>
      <c r="C46" s="41" t="s">
        <v>178</v>
      </c>
      <c r="D46" s="41" t="s">
        <v>211</v>
      </c>
      <c r="E46" s="41">
        <v>3</v>
      </c>
      <c r="F46" s="41" t="s">
        <v>272</v>
      </c>
    </row>
    <row r="47" spans="2:6" x14ac:dyDescent="0.3">
      <c r="B47" s="41">
        <v>19</v>
      </c>
      <c r="C47" s="41" t="s">
        <v>178</v>
      </c>
      <c r="D47" s="41" t="s">
        <v>211</v>
      </c>
      <c r="E47" s="41">
        <v>4</v>
      </c>
      <c r="F47" s="41" t="s">
        <v>273</v>
      </c>
    </row>
    <row r="48" spans="2:6" x14ac:dyDescent="0.3">
      <c r="B48" s="41">
        <v>20</v>
      </c>
      <c r="C48" s="41" t="s">
        <v>178</v>
      </c>
      <c r="D48" s="41" t="s">
        <v>211</v>
      </c>
      <c r="E48" s="41">
        <v>5</v>
      </c>
      <c r="F48" s="41" t="s">
        <v>274</v>
      </c>
    </row>
    <row r="49" spans="2:6" x14ac:dyDescent="0.3">
      <c r="B49" s="41">
        <v>21</v>
      </c>
      <c r="C49" s="41" t="s">
        <v>178</v>
      </c>
      <c r="D49" s="41" t="s">
        <v>1288</v>
      </c>
      <c r="E49" s="41">
        <v>1</v>
      </c>
      <c r="F49" s="41" t="s">
        <v>1308</v>
      </c>
    </row>
    <row r="50" spans="2:6" x14ac:dyDescent="0.3">
      <c r="B50" s="41">
        <v>22</v>
      </c>
      <c r="C50" s="41" t="s">
        <v>178</v>
      </c>
      <c r="D50" s="41" t="s">
        <v>1288</v>
      </c>
      <c r="E50" s="41">
        <v>2</v>
      </c>
      <c r="F50" s="41" t="s">
        <v>1309</v>
      </c>
    </row>
    <row r="51" spans="2:6" x14ac:dyDescent="0.3">
      <c r="B51" s="41">
        <v>23</v>
      </c>
      <c r="C51" s="41" t="s">
        <v>178</v>
      </c>
      <c r="D51" s="41" t="s">
        <v>1288</v>
      </c>
      <c r="E51" s="41">
        <v>3</v>
      </c>
      <c r="F51" s="41" t="s">
        <v>1310</v>
      </c>
    </row>
    <row r="52" spans="2:6" x14ac:dyDescent="0.3">
      <c r="B52" s="41">
        <v>24</v>
      </c>
      <c r="C52" s="41" t="s">
        <v>178</v>
      </c>
      <c r="D52" s="41" t="s">
        <v>1289</v>
      </c>
      <c r="E52" s="41">
        <v>1</v>
      </c>
      <c r="F52" s="41" t="s">
        <v>1311</v>
      </c>
    </row>
    <row r="53" spans="2:6" x14ac:dyDescent="0.3">
      <c r="B53" s="41">
        <v>25</v>
      </c>
      <c r="C53" s="41" t="s">
        <v>178</v>
      </c>
      <c r="D53" s="41" t="s">
        <v>1289</v>
      </c>
      <c r="E53" s="41">
        <v>2</v>
      </c>
      <c r="F53" s="41" t="s">
        <v>1312</v>
      </c>
    </row>
    <row r="54" spans="2:6" x14ac:dyDescent="0.3">
      <c r="B54" s="41">
        <v>26</v>
      </c>
      <c r="C54" s="41" t="s">
        <v>178</v>
      </c>
      <c r="D54" s="41" t="s">
        <v>1289</v>
      </c>
      <c r="E54" s="41">
        <v>3</v>
      </c>
      <c r="F54" s="41" t="s">
        <v>1313</v>
      </c>
    </row>
    <row r="55" spans="2:6" x14ac:dyDescent="0.3">
      <c r="B55" s="41">
        <v>27</v>
      </c>
      <c r="C55" s="41" t="s">
        <v>178</v>
      </c>
      <c r="D55" s="41" t="s">
        <v>1290</v>
      </c>
      <c r="E55" s="41">
        <v>1</v>
      </c>
      <c r="F55" s="41" t="s">
        <v>1314</v>
      </c>
    </row>
    <row r="56" spans="2:6" x14ac:dyDescent="0.3">
      <c r="B56" s="41">
        <v>28</v>
      </c>
      <c r="C56" s="41" t="s">
        <v>178</v>
      </c>
      <c r="D56" s="41" t="s">
        <v>1290</v>
      </c>
      <c r="E56" s="41">
        <v>2</v>
      </c>
      <c r="F56" s="41" t="s">
        <v>1315</v>
      </c>
    </row>
    <row r="57" spans="2:6" x14ac:dyDescent="0.3">
      <c r="B57" s="41">
        <v>29</v>
      </c>
      <c r="C57" s="41" t="s">
        <v>178</v>
      </c>
      <c r="D57" s="41" t="s">
        <v>1290</v>
      </c>
      <c r="E57" s="41">
        <v>3</v>
      </c>
      <c r="F57" s="41" t="s">
        <v>1316</v>
      </c>
    </row>
    <row r="58" spans="2:6" x14ac:dyDescent="0.3">
      <c r="B58" s="41">
        <v>30</v>
      </c>
      <c r="C58" s="41" t="s">
        <v>178</v>
      </c>
      <c r="D58" s="41" t="s">
        <v>1291</v>
      </c>
      <c r="E58" s="41">
        <v>1</v>
      </c>
      <c r="F58" s="41" t="s">
        <v>1317</v>
      </c>
    </row>
    <row r="59" spans="2:6" x14ac:dyDescent="0.3">
      <c r="B59" s="41">
        <v>31</v>
      </c>
      <c r="C59" s="41" t="s">
        <v>178</v>
      </c>
      <c r="D59" s="41" t="s">
        <v>1291</v>
      </c>
      <c r="E59" s="41">
        <v>2</v>
      </c>
      <c r="F59" s="41" t="s">
        <v>1318</v>
      </c>
    </row>
    <row r="60" spans="2:6" x14ac:dyDescent="0.3">
      <c r="B60" s="41">
        <v>32</v>
      </c>
      <c r="C60" s="41" t="s">
        <v>178</v>
      </c>
      <c r="D60" s="41" t="s">
        <v>1291</v>
      </c>
      <c r="E60" s="41">
        <v>3</v>
      </c>
      <c r="F60" s="41" t="s">
        <v>1319</v>
      </c>
    </row>
    <row r="61" spans="2:6" x14ac:dyDescent="0.3">
      <c r="B61" s="41">
        <v>33</v>
      </c>
      <c r="C61" s="41" t="s">
        <v>178</v>
      </c>
      <c r="D61" s="41" t="s">
        <v>1292</v>
      </c>
      <c r="E61" s="41">
        <v>1</v>
      </c>
      <c r="F61" s="41" t="s">
        <v>1320</v>
      </c>
    </row>
    <row r="62" spans="2:6" x14ac:dyDescent="0.3">
      <c r="B62" s="41">
        <v>34</v>
      </c>
      <c r="C62" s="41" t="s">
        <v>178</v>
      </c>
      <c r="D62" s="41" t="s">
        <v>1292</v>
      </c>
      <c r="E62" s="41">
        <v>2</v>
      </c>
      <c r="F62" s="41" t="s">
        <v>1321</v>
      </c>
    </row>
    <row r="63" spans="2:6" x14ac:dyDescent="0.3">
      <c r="B63" s="41">
        <v>35</v>
      </c>
      <c r="C63" s="41" t="s">
        <v>178</v>
      </c>
      <c r="D63" s="41" t="s">
        <v>1292</v>
      </c>
      <c r="E63" s="41">
        <v>3</v>
      </c>
      <c r="F63" s="41" t="s">
        <v>1322</v>
      </c>
    </row>
  </sheetData>
  <mergeCells count="1">
    <mergeCell ref="B2:F2"/>
  </mergeCells>
  <pageMargins left="0.25" right="0.25" top="0.75" bottom="0.75" header="0.3" footer="0.3"/>
  <pageSetup paperSize="9" scale="78" fitToHeight="0" orientation="landscape" horizontalDpi="300" verticalDpi="300" r:id="rId1"/>
  <headerFooter>
    <oddFooter>&amp;LPulse Oximetry allocation&amp;C&amp;A&amp;R&amp;P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2" tint="-0.249977111117893"/>
    <pageSetUpPr fitToPage="1"/>
  </sheetPr>
  <dimension ref="B2:F37"/>
  <sheetViews>
    <sheetView showGridLines="0" topLeftCell="C1" zoomScaleNormal="90" zoomScalePageLayoutView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1323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1324</v>
      </c>
      <c r="C4" s="22">
        <v>19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14</v>
      </c>
      <c r="E8" s="38" t="s">
        <v>1325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1326</v>
      </c>
      <c r="D11" s="40">
        <v>5</v>
      </c>
    </row>
    <row r="12" spans="2:6" x14ac:dyDescent="0.3">
      <c r="B12" s="39">
        <v>2</v>
      </c>
      <c r="C12" s="39" t="s">
        <v>1327</v>
      </c>
      <c r="D12" s="40">
        <v>3</v>
      </c>
    </row>
    <row r="13" spans="2:6" x14ac:dyDescent="0.3">
      <c r="B13" s="39">
        <v>3</v>
      </c>
      <c r="C13" s="39" t="s">
        <v>1328</v>
      </c>
      <c r="D13" s="40">
        <v>4</v>
      </c>
    </row>
    <row r="14" spans="2:6" x14ac:dyDescent="0.3">
      <c r="B14" s="39">
        <v>4</v>
      </c>
      <c r="C14" s="39" t="s">
        <v>1329</v>
      </c>
      <c r="D14" s="40">
        <v>4</v>
      </c>
    </row>
    <row r="15" spans="2:6" x14ac:dyDescent="0.3">
      <c r="B15" s="41">
        <v>5</v>
      </c>
      <c r="C15" s="39" t="s">
        <v>1330</v>
      </c>
      <c r="D15" s="40">
        <v>3</v>
      </c>
    </row>
    <row r="16" spans="2:6" x14ac:dyDescent="0.3">
      <c r="C16" s="42" t="s">
        <v>150</v>
      </c>
      <c r="D16" s="43">
        <f>SUM(D11:D15)</f>
        <v>19</v>
      </c>
    </row>
    <row r="18" spans="2:6" x14ac:dyDescent="0.3">
      <c r="B18" s="7" t="s">
        <v>197</v>
      </c>
      <c r="C18" s="7" t="s">
        <v>151</v>
      </c>
      <c r="D18" s="7" t="s">
        <v>215</v>
      </c>
      <c r="E18" s="7" t="s">
        <v>216</v>
      </c>
      <c r="F18" s="7" t="s">
        <v>217</v>
      </c>
    </row>
    <row r="19" spans="2:6" x14ac:dyDescent="0.3">
      <c r="B19" s="41">
        <v>1</v>
      </c>
      <c r="C19" s="41" t="s">
        <v>179</v>
      </c>
      <c r="D19" s="41" t="s">
        <v>1326</v>
      </c>
      <c r="E19" s="41">
        <v>1</v>
      </c>
      <c r="F19" s="41" t="s">
        <v>1331</v>
      </c>
    </row>
    <row r="20" spans="2:6" x14ac:dyDescent="0.3">
      <c r="B20" s="41">
        <v>2</v>
      </c>
      <c r="C20" s="41" t="s">
        <v>179</v>
      </c>
      <c r="D20" s="41" t="s">
        <v>1326</v>
      </c>
      <c r="E20" s="41">
        <v>2</v>
      </c>
      <c r="F20" s="41" t="s">
        <v>1332</v>
      </c>
    </row>
    <row r="21" spans="2:6" x14ac:dyDescent="0.3">
      <c r="B21" s="41">
        <v>3</v>
      </c>
      <c r="C21" s="41" t="s">
        <v>179</v>
      </c>
      <c r="D21" s="41" t="s">
        <v>1326</v>
      </c>
      <c r="E21" s="41">
        <v>3</v>
      </c>
      <c r="F21" s="41" t="s">
        <v>1333</v>
      </c>
    </row>
    <row r="22" spans="2:6" x14ac:dyDescent="0.3">
      <c r="B22" s="41">
        <v>4</v>
      </c>
      <c r="C22" s="41" t="s">
        <v>179</v>
      </c>
      <c r="D22" s="41" t="s">
        <v>1326</v>
      </c>
      <c r="E22" s="41">
        <v>4</v>
      </c>
      <c r="F22" s="41" t="s">
        <v>1334</v>
      </c>
    </row>
    <row r="23" spans="2:6" x14ac:dyDescent="0.3">
      <c r="B23" s="41">
        <v>5</v>
      </c>
      <c r="C23" s="41" t="s">
        <v>179</v>
      </c>
      <c r="D23" s="41" t="s">
        <v>1326</v>
      </c>
      <c r="E23" s="41">
        <v>5</v>
      </c>
      <c r="F23" s="41" t="s">
        <v>1335</v>
      </c>
    </row>
    <row r="24" spans="2:6" x14ac:dyDescent="0.3">
      <c r="B24" s="41">
        <v>6</v>
      </c>
      <c r="C24" s="41" t="s">
        <v>179</v>
      </c>
      <c r="D24" s="41" t="s">
        <v>1327</v>
      </c>
      <c r="E24" s="41">
        <v>1</v>
      </c>
      <c r="F24" s="41" t="s">
        <v>1336</v>
      </c>
    </row>
    <row r="25" spans="2:6" x14ac:dyDescent="0.3">
      <c r="B25" s="41">
        <v>7</v>
      </c>
      <c r="C25" s="41" t="s">
        <v>179</v>
      </c>
      <c r="D25" s="41" t="s">
        <v>1327</v>
      </c>
      <c r="E25" s="41">
        <v>2</v>
      </c>
      <c r="F25" s="41" t="s">
        <v>1337</v>
      </c>
    </row>
    <row r="26" spans="2:6" x14ac:dyDescent="0.3">
      <c r="B26" s="41">
        <v>8</v>
      </c>
      <c r="C26" s="41" t="s">
        <v>179</v>
      </c>
      <c r="D26" s="41" t="s">
        <v>1327</v>
      </c>
      <c r="E26" s="41">
        <v>3</v>
      </c>
      <c r="F26" s="41" t="s">
        <v>1338</v>
      </c>
    </row>
    <row r="27" spans="2:6" x14ac:dyDescent="0.3">
      <c r="B27" s="41">
        <v>9</v>
      </c>
      <c r="C27" s="41" t="s">
        <v>179</v>
      </c>
      <c r="D27" s="41" t="s">
        <v>1328</v>
      </c>
      <c r="E27" s="41">
        <v>1</v>
      </c>
      <c r="F27" s="41" t="s">
        <v>1339</v>
      </c>
    </row>
    <row r="28" spans="2:6" x14ac:dyDescent="0.3">
      <c r="B28" s="41">
        <v>10</v>
      </c>
      <c r="C28" s="41" t="s">
        <v>179</v>
      </c>
      <c r="D28" s="41" t="s">
        <v>1328</v>
      </c>
      <c r="E28" s="41">
        <v>2</v>
      </c>
      <c r="F28" s="41" t="s">
        <v>1340</v>
      </c>
    </row>
    <row r="29" spans="2:6" x14ac:dyDescent="0.3">
      <c r="B29" s="41">
        <v>11</v>
      </c>
      <c r="C29" s="41" t="s">
        <v>179</v>
      </c>
      <c r="D29" s="41" t="s">
        <v>1328</v>
      </c>
      <c r="E29" s="41">
        <v>3</v>
      </c>
      <c r="F29" s="41" t="s">
        <v>1341</v>
      </c>
    </row>
    <row r="30" spans="2:6" x14ac:dyDescent="0.3">
      <c r="B30" s="41">
        <v>12</v>
      </c>
      <c r="C30" s="41" t="s">
        <v>179</v>
      </c>
      <c r="D30" s="41" t="s">
        <v>1328</v>
      </c>
      <c r="E30" s="41">
        <v>4</v>
      </c>
      <c r="F30" s="41" t="s">
        <v>1342</v>
      </c>
    </row>
    <row r="31" spans="2:6" x14ac:dyDescent="0.3">
      <c r="B31" s="41">
        <v>13</v>
      </c>
      <c r="C31" s="41" t="s">
        <v>179</v>
      </c>
      <c r="D31" s="41" t="s">
        <v>1329</v>
      </c>
      <c r="E31" s="41">
        <v>1</v>
      </c>
      <c r="F31" s="41" t="s">
        <v>1343</v>
      </c>
    </row>
    <row r="32" spans="2:6" x14ac:dyDescent="0.3">
      <c r="B32" s="41">
        <v>14</v>
      </c>
      <c r="C32" s="41" t="s">
        <v>179</v>
      </c>
      <c r="D32" s="41" t="s">
        <v>1329</v>
      </c>
      <c r="E32" s="41">
        <v>2</v>
      </c>
      <c r="F32" s="41" t="s">
        <v>1344</v>
      </c>
    </row>
    <row r="33" spans="2:6" x14ac:dyDescent="0.3">
      <c r="B33" s="41">
        <v>15</v>
      </c>
      <c r="C33" s="41" t="s">
        <v>179</v>
      </c>
      <c r="D33" s="41" t="s">
        <v>1329</v>
      </c>
      <c r="E33" s="41">
        <v>3</v>
      </c>
      <c r="F33" s="41" t="s">
        <v>1345</v>
      </c>
    </row>
    <row r="34" spans="2:6" x14ac:dyDescent="0.3">
      <c r="B34" s="41">
        <v>16</v>
      </c>
      <c r="C34" s="41" t="s">
        <v>179</v>
      </c>
      <c r="D34" s="41" t="s">
        <v>1329</v>
      </c>
      <c r="E34" s="41">
        <v>4</v>
      </c>
      <c r="F34" s="41" t="s">
        <v>1346</v>
      </c>
    </row>
    <row r="35" spans="2:6" x14ac:dyDescent="0.3">
      <c r="B35" s="41">
        <v>17</v>
      </c>
      <c r="C35" s="41" t="s">
        <v>179</v>
      </c>
      <c r="D35" s="41" t="s">
        <v>1330</v>
      </c>
      <c r="E35" s="41">
        <v>1</v>
      </c>
      <c r="F35" s="41" t="s">
        <v>1347</v>
      </c>
    </row>
    <row r="36" spans="2:6" x14ac:dyDescent="0.3">
      <c r="B36" s="41">
        <v>18</v>
      </c>
      <c r="C36" s="41" t="s">
        <v>179</v>
      </c>
      <c r="D36" s="41" t="s">
        <v>1330</v>
      </c>
      <c r="E36" s="41">
        <v>2</v>
      </c>
      <c r="F36" s="41" t="s">
        <v>1348</v>
      </c>
    </row>
    <row r="37" spans="2:6" x14ac:dyDescent="0.3">
      <c r="B37" s="41">
        <v>19</v>
      </c>
      <c r="C37" s="41" t="s">
        <v>179</v>
      </c>
      <c r="D37" s="41" t="s">
        <v>1330</v>
      </c>
      <c r="E37" s="41">
        <v>3</v>
      </c>
      <c r="F37" s="41" t="s">
        <v>1349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2" tint="-0.249977111117893"/>
    <pageSetUpPr fitToPage="1"/>
  </sheetPr>
  <dimension ref="B3:K37"/>
  <sheetViews>
    <sheetView showGridLines="0" zoomScaleNormal="90" zoomScalePageLayoutView="90" workbookViewId="0">
      <selection activeCell="C8" sqref="C8"/>
    </sheetView>
  </sheetViews>
  <sheetFormatPr defaultColWidth="8.5546875" defaultRowHeight="14.4" x14ac:dyDescent="0.3"/>
  <cols>
    <col min="2" max="2" width="7.33203125" customWidth="1"/>
    <col min="3" max="3" width="14.5546875" customWidth="1"/>
    <col min="4" max="4" width="45.44140625" customWidth="1"/>
    <col min="5" max="5" width="15.44140625" customWidth="1"/>
    <col min="6" max="6" width="18.109375" customWidth="1"/>
    <col min="10" max="10" width="30.109375" customWidth="1"/>
  </cols>
  <sheetData>
    <row r="3" spans="2:11" x14ac:dyDescent="0.3">
      <c r="B3" s="62" t="s">
        <v>1350</v>
      </c>
      <c r="C3" s="199"/>
      <c r="D3" s="62">
        <f>COUNTA(F11:F37)</f>
        <v>27</v>
      </c>
    </row>
    <row r="4" spans="2:11" x14ac:dyDescent="0.3">
      <c r="B4" s="63" t="s">
        <v>288</v>
      </c>
    </row>
    <row r="5" spans="2:11" x14ac:dyDescent="0.3">
      <c r="D5" s="62"/>
    </row>
    <row r="6" spans="2:11" x14ac:dyDescent="0.3">
      <c r="B6" s="36" t="s">
        <v>146</v>
      </c>
      <c r="C6" s="36"/>
      <c r="D6" s="132">
        <f t="array" ref="D6">SUMPRODUCT((D11:D37="Murang'a County Referral Hospital")*1)</f>
        <v>5</v>
      </c>
      <c r="E6" s="52"/>
      <c r="F6" s="133" t="s">
        <v>1351</v>
      </c>
    </row>
    <row r="7" spans="2:11" x14ac:dyDescent="0.3">
      <c r="B7" s="36" t="s">
        <v>147</v>
      </c>
      <c r="C7" s="36"/>
      <c r="D7" s="132">
        <f t="array" ref="D7">SUMPRODUCT((ISNUMBER(SEARCH("hospital",D11:D37)))*1)-D6</f>
        <v>19</v>
      </c>
      <c r="E7" s="52"/>
      <c r="F7" s="38" t="s">
        <v>1352</v>
      </c>
    </row>
    <row r="8" spans="2:11" x14ac:dyDescent="0.3">
      <c r="B8" s="36" t="s">
        <v>148</v>
      </c>
      <c r="C8" s="36"/>
      <c r="D8" s="132">
        <f>D3-D6-D7</f>
        <v>3</v>
      </c>
      <c r="E8" s="52"/>
      <c r="F8" s="38" t="s">
        <v>1353</v>
      </c>
    </row>
    <row r="9" spans="2:11" x14ac:dyDescent="0.3">
      <c r="B9" s="134"/>
      <c r="C9" s="134"/>
      <c r="D9" s="134"/>
      <c r="E9" s="135"/>
      <c r="F9" s="38"/>
    </row>
    <row r="10" spans="2:11" x14ac:dyDescent="0.3">
      <c r="B10" s="12" t="s">
        <v>197</v>
      </c>
      <c r="C10" s="12" t="s">
        <v>151</v>
      </c>
      <c r="D10" s="12" t="s">
        <v>215</v>
      </c>
      <c r="E10" s="12" t="s">
        <v>216</v>
      </c>
      <c r="F10" s="12" t="s">
        <v>217</v>
      </c>
      <c r="H10" s="12" t="s">
        <v>197</v>
      </c>
      <c r="I10" s="12" t="s">
        <v>151</v>
      </c>
      <c r="J10" s="12" t="s">
        <v>215</v>
      </c>
      <c r="K10" s="12" t="s">
        <v>1354</v>
      </c>
    </row>
    <row r="11" spans="2:11" x14ac:dyDescent="0.3">
      <c r="B11" s="41">
        <v>1</v>
      </c>
      <c r="C11" s="41" t="s">
        <v>200</v>
      </c>
      <c r="D11" s="41" t="s">
        <v>1355</v>
      </c>
      <c r="E11" s="41">
        <v>1</v>
      </c>
      <c r="F11" s="17" t="s">
        <v>1356</v>
      </c>
      <c r="H11" s="25">
        <v>1</v>
      </c>
      <c r="I11" s="25" t="s">
        <v>200</v>
      </c>
      <c r="J11" s="25" t="s">
        <v>1355</v>
      </c>
      <c r="K11" s="25">
        <v>3</v>
      </c>
    </row>
    <row r="12" spans="2:11" x14ac:dyDescent="0.3">
      <c r="B12" s="41">
        <v>2</v>
      </c>
      <c r="C12" s="41" t="s">
        <v>200</v>
      </c>
      <c r="D12" s="41" t="s">
        <v>1355</v>
      </c>
      <c r="E12" s="41">
        <v>2</v>
      </c>
      <c r="F12" s="17" t="s">
        <v>1357</v>
      </c>
      <c r="H12" s="25">
        <v>2</v>
      </c>
      <c r="I12" s="25" t="s">
        <v>200</v>
      </c>
      <c r="J12" s="25" t="s">
        <v>1358</v>
      </c>
      <c r="K12" s="25">
        <v>1</v>
      </c>
    </row>
    <row r="13" spans="2:11" x14ac:dyDescent="0.3">
      <c r="B13" s="41">
        <v>3</v>
      </c>
      <c r="C13" s="41" t="s">
        <v>200</v>
      </c>
      <c r="D13" s="41" t="s">
        <v>1355</v>
      </c>
      <c r="E13" s="41">
        <v>3</v>
      </c>
      <c r="F13" s="41" t="s">
        <v>1359</v>
      </c>
      <c r="H13" s="25">
        <v>3</v>
      </c>
      <c r="I13" s="25" t="s">
        <v>200</v>
      </c>
      <c r="J13" s="25" t="s">
        <v>1360</v>
      </c>
      <c r="K13" s="25">
        <v>3</v>
      </c>
    </row>
    <row r="14" spans="2:11" x14ac:dyDescent="0.3">
      <c r="B14" s="41">
        <v>4</v>
      </c>
      <c r="C14" s="41" t="s">
        <v>200</v>
      </c>
      <c r="D14" s="41" t="s">
        <v>1361</v>
      </c>
      <c r="E14" s="41">
        <v>1</v>
      </c>
      <c r="F14" s="41" t="s">
        <v>1362</v>
      </c>
      <c r="H14" s="25">
        <v>4</v>
      </c>
      <c r="I14" s="25" t="s">
        <v>200</v>
      </c>
      <c r="J14" s="25" t="s">
        <v>1363</v>
      </c>
      <c r="K14" s="25">
        <v>3</v>
      </c>
    </row>
    <row r="15" spans="2:11" x14ac:dyDescent="0.3">
      <c r="B15" s="41">
        <v>5</v>
      </c>
      <c r="C15" s="41" t="s">
        <v>200</v>
      </c>
      <c r="D15" s="41" t="s">
        <v>1360</v>
      </c>
      <c r="E15" s="41">
        <v>1</v>
      </c>
      <c r="F15" s="41" t="s">
        <v>1364</v>
      </c>
      <c r="H15" s="25">
        <v>5</v>
      </c>
      <c r="I15" s="25" t="s">
        <v>200</v>
      </c>
      <c r="J15" s="25" t="s">
        <v>1365</v>
      </c>
      <c r="K15" s="25">
        <v>3</v>
      </c>
    </row>
    <row r="16" spans="2:11" x14ac:dyDescent="0.3">
      <c r="B16" s="41">
        <v>6</v>
      </c>
      <c r="C16" s="41" t="s">
        <v>200</v>
      </c>
      <c r="D16" s="41" t="s">
        <v>1360</v>
      </c>
      <c r="E16" s="41">
        <v>2</v>
      </c>
      <c r="F16" s="41" t="s">
        <v>1366</v>
      </c>
      <c r="H16" s="25">
        <v>6</v>
      </c>
      <c r="I16" s="25" t="s">
        <v>200</v>
      </c>
      <c r="J16" s="25" t="s">
        <v>1367</v>
      </c>
      <c r="K16" s="25">
        <v>2</v>
      </c>
    </row>
    <row r="17" spans="2:11" x14ac:dyDescent="0.3">
      <c r="B17" s="41">
        <v>7</v>
      </c>
      <c r="C17" s="41" t="s">
        <v>200</v>
      </c>
      <c r="D17" s="41" t="s">
        <v>1360</v>
      </c>
      <c r="E17" s="41">
        <v>3</v>
      </c>
      <c r="F17" s="41" t="s">
        <v>1368</v>
      </c>
      <c r="H17" s="25">
        <v>7</v>
      </c>
      <c r="I17" s="25" t="s">
        <v>200</v>
      </c>
      <c r="J17" s="25" t="s">
        <v>1369</v>
      </c>
      <c r="K17" s="25">
        <v>4</v>
      </c>
    </row>
    <row r="18" spans="2:11" x14ac:dyDescent="0.3">
      <c r="B18" s="41">
        <v>8</v>
      </c>
      <c r="C18" s="41" t="s">
        <v>200</v>
      </c>
      <c r="D18" s="41" t="s">
        <v>1363</v>
      </c>
      <c r="E18" s="41">
        <v>1</v>
      </c>
      <c r="F18" s="41" t="s">
        <v>1370</v>
      </c>
      <c r="H18" s="25">
        <v>8</v>
      </c>
      <c r="I18" s="25" t="s">
        <v>200</v>
      </c>
      <c r="J18" s="25" t="s">
        <v>1371</v>
      </c>
      <c r="K18" s="25">
        <v>5</v>
      </c>
    </row>
    <row r="19" spans="2:11" x14ac:dyDescent="0.3">
      <c r="B19" s="41">
        <v>9</v>
      </c>
      <c r="C19" s="41" t="s">
        <v>200</v>
      </c>
      <c r="D19" s="41" t="s">
        <v>1363</v>
      </c>
      <c r="E19" s="41">
        <v>2</v>
      </c>
      <c r="F19" s="41" t="s">
        <v>1372</v>
      </c>
      <c r="H19" s="25">
        <v>9</v>
      </c>
      <c r="I19" s="25" t="s">
        <v>200</v>
      </c>
      <c r="J19" s="25" t="s">
        <v>1373</v>
      </c>
      <c r="K19" s="25">
        <v>3</v>
      </c>
    </row>
    <row r="20" spans="2:11" x14ac:dyDescent="0.3">
      <c r="B20" s="41">
        <v>10</v>
      </c>
      <c r="C20" s="41" t="s">
        <v>200</v>
      </c>
      <c r="D20" s="41" t="s">
        <v>1363</v>
      </c>
      <c r="E20" s="41">
        <v>3</v>
      </c>
      <c r="F20" s="41" t="s">
        <v>1374</v>
      </c>
      <c r="H20" s="26"/>
      <c r="I20" s="26"/>
      <c r="J20" s="45" t="s">
        <v>150</v>
      </c>
      <c r="K20" s="45">
        <f>SUM(K11:K19)</f>
        <v>27</v>
      </c>
    </row>
    <row r="21" spans="2:11" x14ac:dyDescent="0.3">
      <c r="B21" s="41">
        <v>11</v>
      </c>
      <c r="C21" s="41" t="s">
        <v>200</v>
      </c>
      <c r="D21" s="41" t="s">
        <v>1365</v>
      </c>
      <c r="E21" s="41">
        <v>1</v>
      </c>
      <c r="F21" s="41" t="s">
        <v>1375</v>
      </c>
    </row>
    <row r="22" spans="2:11" x14ac:dyDescent="0.3">
      <c r="B22" s="41">
        <v>12</v>
      </c>
      <c r="C22" s="41" t="s">
        <v>200</v>
      </c>
      <c r="D22" s="41" t="s">
        <v>1365</v>
      </c>
      <c r="E22" s="41">
        <v>2</v>
      </c>
      <c r="F22" s="41" t="s">
        <v>1376</v>
      </c>
    </row>
    <row r="23" spans="2:11" x14ac:dyDescent="0.3">
      <c r="B23" s="41">
        <v>13</v>
      </c>
      <c r="C23" s="41" t="s">
        <v>200</v>
      </c>
      <c r="D23" s="41" t="s">
        <v>1365</v>
      </c>
      <c r="E23" s="41">
        <v>3</v>
      </c>
      <c r="F23" s="41" t="s">
        <v>1377</v>
      </c>
    </row>
    <row r="24" spans="2:11" x14ac:dyDescent="0.3">
      <c r="B24" s="41">
        <v>14</v>
      </c>
      <c r="C24" s="41" t="s">
        <v>200</v>
      </c>
      <c r="D24" s="41" t="s">
        <v>1367</v>
      </c>
      <c r="E24" s="41">
        <v>1</v>
      </c>
      <c r="F24" s="41" t="s">
        <v>1378</v>
      </c>
    </row>
    <row r="25" spans="2:11" x14ac:dyDescent="0.3">
      <c r="B25" s="41">
        <v>15</v>
      </c>
      <c r="C25" s="41" t="s">
        <v>200</v>
      </c>
      <c r="D25" s="41" t="s">
        <v>1379</v>
      </c>
      <c r="E25" s="41">
        <v>1</v>
      </c>
      <c r="F25" s="41" t="s">
        <v>1380</v>
      </c>
    </row>
    <row r="26" spans="2:11" x14ac:dyDescent="0.3">
      <c r="B26" s="41">
        <v>16</v>
      </c>
      <c r="C26" s="41" t="s">
        <v>200</v>
      </c>
      <c r="D26" s="41" t="s">
        <v>1369</v>
      </c>
      <c r="E26" s="41">
        <v>1</v>
      </c>
      <c r="F26" s="41" t="s">
        <v>1381</v>
      </c>
    </row>
    <row r="27" spans="2:11" x14ac:dyDescent="0.3">
      <c r="B27" s="41">
        <v>17</v>
      </c>
      <c r="C27" s="41" t="s">
        <v>200</v>
      </c>
      <c r="D27" s="41" t="s">
        <v>1369</v>
      </c>
      <c r="E27" s="41">
        <v>2</v>
      </c>
      <c r="F27" s="41" t="s">
        <v>1382</v>
      </c>
    </row>
    <row r="28" spans="2:11" x14ac:dyDescent="0.3">
      <c r="B28" s="41">
        <v>18</v>
      </c>
      <c r="C28" s="41" t="s">
        <v>200</v>
      </c>
      <c r="D28" s="41" t="s">
        <v>1369</v>
      </c>
      <c r="E28" s="41">
        <v>3</v>
      </c>
      <c r="F28" s="41" t="s">
        <v>1383</v>
      </c>
    </row>
    <row r="29" spans="2:11" x14ac:dyDescent="0.3">
      <c r="B29" s="41">
        <v>19</v>
      </c>
      <c r="C29" s="41" t="s">
        <v>200</v>
      </c>
      <c r="D29" s="41" t="s">
        <v>1369</v>
      </c>
      <c r="E29" s="41">
        <v>4</v>
      </c>
      <c r="F29" s="41" t="s">
        <v>1384</v>
      </c>
    </row>
    <row r="30" spans="2:11" x14ac:dyDescent="0.3">
      <c r="B30" s="41">
        <v>20</v>
      </c>
      <c r="C30" s="41" t="s">
        <v>200</v>
      </c>
      <c r="D30" s="41" t="s">
        <v>1371</v>
      </c>
      <c r="E30" s="41">
        <v>1</v>
      </c>
      <c r="F30" s="41" t="s">
        <v>1385</v>
      </c>
    </row>
    <row r="31" spans="2:11" x14ac:dyDescent="0.3">
      <c r="B31" s="41">
        <v>21</v>
      </c>
      <c r="C31" s="41" t="s">
        <v>200</v>
      </c>
      <c r="D31" s="41" t="s">
        <v>1371</v>
      </c>
      <c r="E31" s="41">
        <v>2</v>
      </c>
      <c r="F31" s="41" t="s">
        <v>1386</v>
      </c>
    </row>
    <row r="32" spans="2:11" x14ac:dyDescent="0.3">
      <c r="B32" s="41">
        <v>22</v>
      </c>
      <c r="C32" s="41" t="s">
        <v>200</v>
      </c>
      <c r="D32" s="41" t="s">
        <v>1371</v>
      </c>
      <c r="E32" s="41">
        <v>3</v>
      </c>
      <c r="F32" s="41" t="s">
        <v>1387</v>
      </c>
    </row>
    <row r="33" spans="2:6" x14ac:dyDescent="0.3">
      <c r="B33" s="41">
        <v>23</v>
      </c>
      <c r="C33" s="41" t="s">
        <v>200</v>
      </c>
      <c r="D33" s="41" t="s">
        <v>1371</v>
      </c>
      <c r="E33" s="41">
        <v>4</v>
      </c>
      <c r="F33" s="41" t="s">
        <v>1388</v>
      </c>
    </row>
    <row r="34" spans="2:6" x14ac:dyDescent="0.3">
      <c r="B34" s="41">
        <v>24</v>
      </c>
      <c r="C34" s="41" t="s">
        <v>200</v>
      </c>
      <c r="D34" s="41" t="s">
        <v>1371</v>
      </c>
      <c r="E34" s="41">
        <v>5</v>
      </c>
      <c r="F34" s="41" t="s">
        <v>1389</v>
      </c>
    </row>
    <row r="35" spans="2:6" x14ac:dyDescent="0.3">
      <c r="B35" s="41">
        <v>25</v>
      </c>
      <c r="C35" s="41" t="s">
        <v>200</v>
      </c>
      <c r="D35" s="41" t="s">
        <v>1390</v>
      </c>
      <c r="E35" s="41">
        <v>1</v>
      </c>
      <c r="F35" s="41" t="s">
        <v>1391</v>
      </c>
    </row>
    <row r="36" spans="2:6" x14ac:dyDescent="0.3">
      <c r="B36" s="41">
        <v>26</v>
      </c>
      <c r="C36" s="41" t="s">
        <v>200</v>
      </c>
      <c r="D36" s="41" t="s">
        <v>1390</v>
      </c>
      <c r="E36" s="41">
        <v>2</v>
      </c>
      <c r="F36" s="41" t="s">
        <v>1392</v>
      </c>
    </row>
    <row r="37" spans="2:6" x14ac:dyDescent="0.3">
      <c r="B37" s="41">
        <v>27</v>
      </c>
      <c r="C37" s="41" t="s">
        <v>200</v>
      </c>
      <c r="D37" s="41" t="s">
        <v>1390</v>
      </c>
      <c r="E37" s="41">
        <v>3</v>
      </c>
      <c r="F37" s="41" t="s">
        <v>1393</v>
      </c>
    </row>
  </sheetData>
  <pageMargins left="0.25" right="0.25" top="0.75" bottom="0.75" header="0.3" footer="0.3"/>
  <pageSetup paperSize="9" scale="78" fitToHeight="0" orientation="landscape" horizontalDpi="300" verticalDpi="300" r:id="rId1"/>
  <headerFooter>
    <oddFooter>&amp;LPulse Oximetry allocation&amp;C&amp;A&amp;R&amp;P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2" tint="-0.249977111117893"/>
    <pageSetUpPr fitToPage="1"/>
  </sheetPr>
  <dimension ref="A2:H40"/>
  <sheetViews>
    <sheetView showGridLines="0" view="pageLayout" topLeftCell="A9" zoomScaleNormal="90" workbookViewId="0">
      <selection activeCell="C8" sqref="C8"/>
    </sheetView>
  </sheetViews>
  <sheetFormatPr defaultColWidth="8.5546875" defaultRowHeight="14.4" x14ac:dyDescent="0.3"/>
  <cols>
    <col min="2" max="2" width="16.88671875" customWidth="1"/>
    <col min="3" max="3" width="23.5546875" customWidth="1"/>
    <col min="4" max="4" width="32.109375" customWidth="1"/>
    <col min="5" max="6" width="16.5546875" customWidth="1"/>
  </cols>
  <sheetData>
    <row r="2" spans="1:8" ht="23.25" customHeight="1" x14ac:dyDescent="0.45">
      <c r="B2" s="99" t="s">
        <v>1394</v>
      </c>
      <c r="E2" s="3"/>
      <c r="F2" s="3"/>
      <c r="H2" s="136" t="s">
        <v>1395</v>
      </c>
    </row>
    <row r="3" spans="1:8" x14ac:dyDescent="0.3">
      <c r="B3" s="137"/>
      <c r="C3" s="201"/>
      <c r="D3" s="137"/>
      <c r="E3" s="138"/>
      <c r="F3" s="138"/>
      <c r="H3" s="85" t="s">
        <v>1396</v>
      </c>
    </row>
    <row r="4" spans="1:8" ht="16.5" customHeight="1" x14ac:dyDescent="0.35">
      <c r="B4" s="100" t="s">
        <v>1397</v>
      </c>
      <c r="C4" s="22">
        <f>D17</f>
        <v>21</v>
      </c>
      <c r="E4" s="3"/>
      <c r="F4" s="3"/>
      <c r="H4" s="86" t="s">
        <v>1398</v>
      </c>
    </row>
    <row r="5" spans="1:8" x14ac:dyDescent="0.3">
      <c r="B5" s="118" t="s">
        <v>288</v>
      </c>
      <c r="E5" s="3"/>
      <c r="F5" s="3"/>
      <c r="H5" s="86" t="s">
        <v>1399</v>
      </c>
    </row>
    <row r="6" spans="1:8" x14ac:dyDescent="0.3">
      <c r="E6" s="3"/>
      <c r="F6" s="3"/>
      <c r="H6" s="86" t="s">
        <v>1400</v>
      </c>
    </row>
    <row r="7" spans="1:8" x14ac:dyDescent="0.3">
      <c r="A7" s="80"/>
      <c r="B7" s="139" t="s">
        <v>146</v>
      </c>
      <c r="C7" s="77">
        <v>10</v>
      </c>
      <c r="D7" s="52"/>
      <c r="E7" s="3"/>
      <c r="F7" s="3"/>
      <c r="H7" s="86" t="s">
        <v>1401</v>
      </c>
    </row>
    <row r="8" spans="1:8" x14ac:dyDescent="0.3">
      <c r="A8" s="80"/>
      <c r="B8" s="119" t="s">
        <v>147</v>
      </c>
      <c r="C8" s="74">
        <v>8</v>
      </c>
      <c r="D8" s="52"/>
      <c r="E8" s="3"/>
      <c r="F8" s="3"/>
      <c r="H8" s="86" t="s">
        <v>1402</v>
      </c>
    </row>
    <row r="9" spans="1:8" x14ac:dyDescent="0.3">
      <c r="A9" s="80"/>
      <c r="B9" s="119" t="s">
        <v>149</v>
      </c>
      <c r="C9" s="74">
        <v>3</v>
      </c>
      <c r="D9" s="52"/>
      <c r="E9" s="3"/>
      <c r="F9" s="3"/>
      <c r="H9" s="86" t="s">
        <v>1403</v>
      </c>
    </row>
    <row r="10" spans="1:8" x14ac:dyDescent="0.3">
      <c r="E10" s="3"/>
      <c r="F10" s="3"/>
      <c r="H10" s="86" t="s">
        <v>1404</v>
      </c>
    </row>
    <row r="11" spans="1:8" x14ac:dyDescent="0.3">
      <c r="A11" s="80"/>
      <c r="B11" s="140" t="s">
        <v>197</v>
      </c>
      <c r="C11" s="7" t="s">
        <v>215</v>
      </c>
      <c r="D11" s="11" t="s">
        <v>290</v>
      </c>
      <c r="E11" s="3"/>
      <c r="F11" s="3"/>
      <c r="H11" s="87" t="s">
        <v>1405</v>
      </c>
    </row>
    <row r="12" spans="1:8" x14ac:dyDescent="0.3">
      <c r="A12" s="80"/>
      <c r="B12" s="20">
        <v>1</v>
      </c>
      <c r="C12" s="17" t="s">
        <v>1406</v>
      </c>
      <c r="D12" s="13">
        <v>3</v>
      </c>
      <c r="E12" s="3"/>
      <c r="F12" s="3"/>
    </row>
    <row r="13" spans="1:8" x14ac:dyDescent="0.3">
      <c r="A13" s="80"/>
      <c r="B13" s="20">
        <v>2</v>
      </c>
      <c r="C13" s="17" t="s">
        <v>1407</v>
      </c>
      <c r="D13" s="13">
        <v>5</v>
      </c>
      <c r="E13" s="3"/>
      <c r="F13" s="3"/>
    </row>
    <row r="14" spans="1:8" x14ac:dyDescent="0.3">
      <c r="A14" s="80"/>
      <c r="B14" s="20">
        <v>3</v>
      </c>
      <c r="C14" s="17" t="s">
        <v>1408</v>
      </c>
      <c r="D14" s="13">
        <v>5</v>
      </c>
      <c r="E14" s="3"/>
      <c r="F14" s="3"/>
    </row>
    <row r="15" spans="1:8" x14ac:dyDescent="0.3">
      <c r="A15" s="80"/>
      <c r="B15" s="20">
        <v>4</v>
      </c>
      <c r="C15" s="17" t="s">
        <v>1409</v>
      </c>
      <c r="D15" s="13">
        <v>3</v>
      </c>
      <c r="E15" s="3"/>
      <c r="F15" s="3"/>
    </row>
    <row r="16" spans="1:8" x14ac:dyDescent="0.3">
      <c r="A16" s="80"/>
      <c r="B16" s="126">
        <v>5</v>
      </c>
      <c r="C16" s="8" t="s">
        <v>1410</v>
      </c>
      <c r="D16" s="9">
        <v>5</v>
      </c>
      <c r="E16" s="3"/>
      <c r="F16" s="3"/>
    </row>
    <row r="17" spans="1:7" x14ac:dyDescent="0.3">
      <c r="A17" s="80"/>
      <c r="B17" s="123"/>
      <c r="C17" s="141" t="s">
        <v>150</v>
      </c>
      <c r="D17" s="142">
        <f>SUM(D12:D16)</f>
        <v>21</v>
      </c>
      <c r="E17" s="3"/>
      <c r="F17" s="3"/>
    </row>
    <row r="18" spans="1:7" x14ac:dyDescent="0.3">
      <c r="C18" s="125"/>
      <c r="D18" s="125"/>
      <c r="E18" s="79"/>
      <c r="F18" s="79"/>
    </row>
    <row r="19" spans="1:7" x14ac:dyDescent="0.3">
      <c r="A19" s="80"/>
      <c r="B19" s="81" t="s">
        <v>197</v>
      </c>
      <c r="C19" s="82" t="s">
        <v>151</v>
      </c>
      <c r="D19" s="104" t="s">
        <v>215</v>
      </c>
      <c r="E19" s="121" t="s">
        <v>216</v>
      </c>
      <c r="F19" s="81" t="s">
        <v>217</v>
      </c>
    </row>
    <row r="20" spans="1:7" x14ac:dyDescent="0.3">
      <c r="A20" s="80"/>
      <c r="B20" s="20">
        <v>1</v>
      </c>
      <c r="C20" s="16" t="s">
        <v>199</v>
      </c>
      <c r="D20" s="17" t="s">
        <v>1406</v>
      </c>
      <c r="E20" s="13">
        <v>1</v>
      </c>
      <c r="F20" s="143" t="s">
        <v>1411</v>
      </c>
    </row>
    <row r="21" spans="1:7" x14ac:dyDescent="0.3">
      <c r="A21" s="80"/>
      <c r="B21" s="20">
        <v>2</v>
      </c>
      <c r="C21" s="16" t="s">
        <v>199</v>
      </c>
      <c r="D21" s="17" t="s">
        <v>1406</v>
      </c>
      <c r="E21" s="13">
        <v>2</v>
      </c>
      <c r="F21" s="143" t="s">
        <v>1412</v>
      </c>
    </row>
    <row r="22" spans="1:7" x14ac:dyDescent="0.3">
      <c r="A22" s="80"/>
      <c r="B22" s="20">
        <v>3</v>
      </c>
      <c r="C22" s="16" t="s">
        <v>199</v>
      </c>
      <c r="D22" s="17" t="s">
        <v>1406</v>
      </c>
      <c r="E22" s="13">
        <v>3</v>
      </c>
      <c r="F22" s="143" t="s">
        <v>1413</v>
      </c>
    </row>
    <row r="23" spans="1:7" x14ac:dyDescent="0.3">
      <c r="A23" s="80"/>
      <c r="B23" s="20">
        <v>4</v>
      </c>
      <c r="C23" s="17" t="s">
        <v>199</v>
      </c>
      <c r="D23" s="128" t="s">
        <v>1407</v>
      </c>
      <c r="E23" s="144">
        <v>1</v>
      </c>
      <c r="F23" s="13"/>
      <c r="G23" s="145" t="s">
        <v>152</v>
      </c>
    </row>
    <row r="24" spans="1:7" x14ac:dyDescent="0.3">
      <c r="A24" s="80"/>
      <c r="B24" s="20">
        <v>5</v>
      </c>
      <c r="C24" s="17" t="s">
        <v>199</v>
      </c>
      <c r="D24" s="17" t="s">
        <v>1407</v>
      </c>
      <c r="E24" s="144">
        <v>2</v>
      </c>
      <c r="F24" s="13"/>
      <c r="G24" s="145" t="s">
        <v>152</v>
      </c>
    </row>
    <row r="25" spans="1:7" x14ac:dyDescent="0.3">
      <c r="A25" s="80"/>
      <c r="B25" s="20">
        <v>6</v>
      </c>
      <c r="C25" s="17" t="s">
        <v>199</v>
      </c>
      <c r="D25" s="17" t="s">
        <v>1407</v>
      </c>
      <c r="E25" s="144">
        <v>3</v>
      </c>
      <c r="F25" s="13"/>
      <c r="G25" s="145" t="s">
        <v>152</v>
      </c>
    </row>
    <row r="26" spans="1:7" x14ac:dyDescent="0.3">
      <c r="A26" s="80"/>
      <c r="B26" s="20">
        <v>7</v>
      </c>
      <c r="C26" s="17" t="s">
        <v>199</v>
      </c>
      <c r="D26" s="17" t="s">
        <v>1407</v>
      </c>
      <c r="E26" s="144">
        <v>4</v>
      </c>
      <c r="F26" s="13"/>
      <c r="G26" s="145" t="s">
        <v>152</v>
      </c>
    </row>
    <row r="27" spans="1:7" x14ac:dyDescent="0.3">
      <c r="A27" s="80"/>
      <c r="B27" s="20">
        <v>8</v>
      </c>
      <c r="C27" s="17" t="s">
        <v>199</v>
      </c>
      <c r="D27" s="17" t="s">
        <v>1407</v>
      </c>
      <c r="E27" s="144">
        <v>5</v>
      </c>
      <c r="F27" s="13"/>
      <c r="G27" s="145" t="s">
        <v>152</v>
      </c>
    </row>
    <row r="28" spans="1:7" x14ac:dyDescent="0.3">
      <c r="A28" s="80"/>
      <c r="B28" s="20">
        <v>9</v>
      </c>
      <c r="C28" s="17" t="s">
        <v>199</v>
      </c>
      <c r="D28" s="17" t="s">
        <v>1408</v>
      </c>
      <c r="E28" s="144">
        <v>1</v>
      </c>
      <c r="F28" s="144" t="s">
        <v>1411</v>
      </c>
      <c r="G28" s="145" t="s">
        <v>152</v>
      </c>
    </row>
    <row r="29" spans="1:7" x14ac:dyDescent="0.3">
      <c r="A29" s="80"/>
      <c r="B29" s="20">
        <v>10</v>
      </c>
      <c r="C29" s="17" t="s">
        <v>199</v>
      </c>
      <c r="D29" s="17" t="s">
        <v>1408</v>
      </c>
      <c r="E29" s="144">
        <v>2</v>
      </c>
      <c r="F29" s="144" t="s">
        <v>1412</v>
      </c>
      <c r="G29" s="145" t="s">
        <v>152</v>
      </c>
    </row>
    <row r="30" spans="1:7" x14ac:dyDescent="0.3">
      <c r="A30" s="80"/>
      <c r="B30" s="20">
        <v>11</v>
      </c>
      <c r="C30" s="17" t="s">
        <v>199</v>
      </c>
      <c r="D30" s="17" t="s">
        <v>1408</v>
      </c>
      <c r="E30" s="144">
        <v>3</v>
      </c>
      <c r="F30" s="144" t="s">
        <v>1413</v>
      </c>
      <c r="G30" s="145" t="s">
        <v>152</v>
      </c>
    </row>
    <row r="31" spans="1:7" x14ac:dyDescent="0.3">
      <c r="A31" s="80"/>
      <c r="B31" s="20">
        <v>12</v>
      </c>
      <c r="C31" s="17" t="s">
        <v>199</v>
      </c>
      <c r="D31" s="17" t="s">
        <v>1408</v>
      </c>
      <c r="E31" s="144">
        <v>4</v>
      </c>
      <c r="F31" s="144" t="s">
        <v>1414</v>
      </c>
      <c r="G31" s="145" t="s">
        <v>152</v>
      </c>
    </row>
    <row r="32" spans="1:7" x14ac:dyDescent="0.3">
      <c r="A32" s="80"/>
      <c r="B32" s="20">
        <v>13</v>
      </c>
      <c r="C32" s="17" t="s">
        <v>199</v>
      </c>
      <c r="D32" s="17" t="s">
        <v>1408</v>
      </c>
      <c r="E32" s="144">
        <v>5</v>
      </c>
      <c r="F32" s="144" t="s">
        <v>1415</v>
      </c>
      <c r="G32" s="145" t="s">
        <v>152</v>
      </c>
    </row>
    <row r="33" spans="1:7" x14ac:dyDescent="0.3">
      <c r="A33" s="80"/>
      <c r="B33" s="20">
        <v>14</v>
      </c>
      <c r="C33" s="17" t="s">
        <v>199</v>
      </c>
      <c r="D33" s="17" t="s">
        <v>1409</v>
      </c>
      <c r="E33" s="13">
        <v>1</v>
      </c>
      <c r="F33" s="13" t="s">
        <v>1416</v>
      </c>
      <c r="G33" s="146"/>
    </row>
    <row r="34" spans="1:7" x14ac:dyDescent="0.3">
      <c r="A34" s="80"/>
      <c r="B34" s="20">
        <v>15</v>
      </c>
      <c r="C34" s="17" t="s">
        <v>199</v>
      </c>
      <c r="D34" s="17" t="s">
        <v>1409</v>
      </c>
      <c r="E34" s="13">
        <v>2</v>
      </c>
      <c r="F34" s="13" t="s">
        <v>1417</v>
      </c>
      <c r="G34" s="146"/>
    </row>
    <row r="35" spans="1:7" x14ac:dyDescent="0.3">
      <c r="A35" s="80"/>
      <c r="B35" s="20">
        <v>16</v>
      </c>
      <c r="C35" s="17" t="s">
        <v>199</v>
      </c>
      <c r="D35" s="17" t="s">
        <v>1409</v>
      </c>
      <c r="E35" s="13">
        <v>3</v>
      </c>
      <c r="F35" s="144" t="s">
        <v>1418</v>
      </c>
      <c r="G35" s="145" t="s">
        <v>152</v>
      </c>
    </row>
    <row r="36" spans="1:7" x14ac:dyDescent="0.3">
      <c r="A36" s="80"/>
      <c r="B36" s="20">
        <v>17</v>
      </c>
      <c r="C36" s="17" t="s">
        <v>199</v>
      </c>
      <c r="D36" s="17" t="s">
        <v>1410</v>
      </c>
      <c r="E36" s="13">
        <v>1</v>
      </c>
      <c r="F36" s="144" t="s">
        <v>1418</v>
      </c>
      <c r="G36" s="145" t="s">
        <v>152</v>
      </c>
    </row>
    <row r="37" spans="1:7" x14ac:dyDescent="0.3">
      <c r="A37" s="80"/>
      <c r="B37" s="20">
        <v>18</v>
      </c>
      <c r="C37" s="17" t="s">
        <v>199</v>
      </c>
      <c r="D37" s="17" t="s">
        <v>1410</v>
      </c>
      <c r="E37" s="13">
        <v>2</v>
      </c>
      <c r="F37" s="144" t="s">
        <v>1418</v>
      </c>
      <c r="G37" s="145" t="s">
        <v>152</v>
      </c>
    </row>
    <row r="38" spans="1:7" x14ac:dyDescent="0.3">
      <c r="A38" s="80"/>
      <c r="B38" s="20">
        <v>19</v>
      </c>
      <c r="C38" s="17" t="s">
        <v>199</v>
      </c>
      <c r="D38" s="17" t="s">
        <v>1410</v>
      </c>
      <c r="E38" s="13">
        <v>3</v>
      </c>
      <c r="F38" s="144" t="s">
        <v>1418</v>
      </c>
      <c r="G38" s="145" t="s">
        <v>152</v>
      </c>
    </row>
    <row r="39" spans="1:7" x14ac:dyDescent="0.3">
      <c r="A39" s="80"/>
      <c r="B39" s="20">
        <v>20</v>
      </c>
      <c r="C39" s="17" t="s">
        <v>199</v>
      </c>
      <c r="D39" s="17" t="s">
        <v>1410</v>
      </c>
      <c r="E39" s="13">
        <v>4</v>
      </c>
      <c r="F39" s="144" t="s">
        <v>1418</v>
      </c>
      <c r="G39" s="145" t="s">
        <v>152</v>
      </c>
    </row>
    <row r="40" spans="1:7" x14ac:dyDescent="0.3">
      <c r="A40" s="80"/>
      <c r="B40" s="17">
        <v>21</v>
      </c>
      <c r="C40" s="17" t="s">
        <v>199</v>
      </c>
      <c r="D40" s="17" t="s">
        <v>1410</v>
      </c>
      <c r="E40" s="13">
        <v>5</v>
      </c>
      <c r="F40" s="144" t="s">
        <v>1418</v>
      </c>
      <c r="G40" s="145" t="s">
        <v>152</v>
      </c>
    </row>
  </sheetData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2" tint="-0.249977111117893"/>
    <pageSetUpPr fitToPage="1"/>
  </sheetPr>
  <dimension ref="B2:F86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2" max="2" width="31.109375" customWidth="1"/>
    <col min="3" max="3" width="26.109375" customWidth="1"/>
    <col min="4" max="4" width="44.44140625" customWidth="1"/>
    <col min="5" max="5" width="8.88671875" customWidth="1"/>
    <col min="6" max="6" width="9.44140625" customWidth="1"/>
  </cols>
  <sheetData>
    <row r="2" spans="2:6" ht="23.25" customHeight="1" x14ac:dyDescent="0.45">
      <c r="B2" s="242" t="s">
        <v>1419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1420</v>
      </c>
      <c r="C4" s="22">
        <v>55</v>
      </c>
    </row>
    <row r="5" spans="2:6" ht="15" customHeight="1" x14ac:dyDescent="0.3">
      <c r="B5" s="35" t="s">
        <v>288</v>
      </c>
    </row>
    <row r="7" spans="2:6" x14ac:dyDescent="0.3">
      <c r="B7" s="146" t="s">
        <v>289</v>
      </c>
      <c r="C7" s="62">
        <v>7</v>
      </c>
    </row>
    <row r="8" spans="2:6" x14ac:dyDescent="0.3">
      <c r="B8" s="146" t="s">
        <v>147</v>
      </c>
      <c r="C8" s="62">
        <v>46</v>
      </c>
      <c r="D8" s="38" t="s">
        <v>1421</v>
      </c>
    </row>
    <row r="9" spans="2:6" x14ac:dyDescent="0.3">
      <c r="B9" s="146" t="s">
        <v>148</v>
      </c>
      <c r="C9" s="62">
        <v>2</v>
      </c>
      <c r="D9" s="38" t="s">
        <v>1422</v>
      </c>
    </row>
    <row r="11" spans="2:6" x14ac:dyDescent="0.3">
      <c r="B11" s="7" t="s">
        <v>197</v>
      </c>
      <c r="C11" s="7" t="s">
        <v>215</v>
      </c>
      <c r="D11" s="7" t="s">
        <v>290</v>
      </c>
    </row>
    <row r="12" spans="2:6" x14ac:dyDescent="0.3">
      <c r="B12" s="41">
        <v>1</v>
      </c>
      <c r="C12" s="41" t="s">
        <v>1423</v>
      </c>
      <c r="D12" s="24">
        <v>4</v>
      </c>
    </row>
    <row r="13" spans="2:6" x14ac:dyDescent="0.3">
      <c r="B13" s="41">
        <v>2</v>
      </c>
      <c r="C13" s="41" t="s">
        <v>1424</v>
      </c>
      <c r="D13" s="24">
        <v>4</v>
      </c>
    </row>
    <row r="14" spans="2:6" x14ac:dyDescent="0.3">
      <c r="B14" s="41">
        <v>3</v>
      </c>
      <c r="C14" s="41" t="s">
        <v>1425</v>
      </c>
      <c r="D14" s="24">
        <v>2</v>
      </c>
    </row>
    <row r="15" spans="2:6" x14ac:dyDescent="0.3">
      <c r="B15" s="41">
        <v>4</v>
      </c>
      <c r="C15" s="41" t="s">
        <v>1426</v>
      </c>
      <c r="D15" s="24">
        <v>3</v>
      </c>
    </row>
    <row r="16" spans="2:6" x14ac:dyDescent="0.3">
      <c r="B16" s="41">
        <v>5</v>
      </c>
      <c r="C16" s="41" t="s">
        <v>1427</v>
      </c>
      <c r="D16" s="24">
        <v>3</v>
      </c>
    </row>
    <row r="17" spans="2:6" x14ac:dyDescent="0.3">
      <c r="B17" s="41">
        <v>6</v>
      </c>
      <c r="C17" s="41" t="s">
        <v>1428</v>
      </c>
      <c r="D17" s="24">
        <v>2</v>
      </c>
    </row>
    <row r="18" spans="2:6" x14ac:dyDescent="0.3">
      <c r="B18" s="41">
        <v>7</v>
      </c>
      <c r="C18" s="41" t="s">
        <v>1429</v>
      </c>
      <c r="D18" s="24">
        <v>2</v>
      </c>
    </row>
    <row r="19" spans="2:6" x14ac:dyDescent="0.3">
      <c r="B19" s="41">
        <v>8</v>
      </c>
      <c r="C19" s="41" t="s">
        <v>1430</v>
      </c>
      <c r="D19" s="24">
        <v>2</v>
      </c>
    </row>
    <row r="20" spans="2:6" x14ac:dyDescent="0.3">
      <c r="B20" s="41">
        <v>9</v>
      </c>
      <c r="C20" s="41" t="s">
        <v>1431</v>
      </c>
      <c r="D20" s="24">
        <v>2</v>
      </c>
    </row>
    <row r="21" spans="2:6" x14ac:dyDescent="0.3">
      <c r="B21" s="41">
        <v>10</v>
      </c>
      <c r="C21" s="41" t="s">
        <v>1432</v>
      </c>
      <c r="D21" s="24">
        <v>2</v>
      </c>
    </row>
    <row r="22" spans="2:6" x14ac:dyDescent="0.3">
      <c r="B22" s="41">
        <v>11</v>
      </c>
      <c r="C22" s="41" t="s">
        <v>1433</v>
      </c>
      <c r="D22" s="24">
        <v>4</v>
      </c>
    </row>
    <row r="23" spans="2:6" x14ac:dyDescent="0.3">
      <c r="B23" s="41">
        <v>12</v>
      </c>
      <c r="C23" s="41" t="s">
        <v>1434</v>
      </c>
      <c r="D23" s="24">
        <v>6</v>
      </c>
    </row>
    <row r="24" spans="2:6" x14ac:dyDescent="0.3">
      <c r="B24" s="41">
        <v>13</v>
      </c>
      <c r="C24" s="41" t="s">
        <v>1435</v>
      </c>
      <c r="D24" s="24">
        <v>7</v>
      </c>
    </row>
    <row r="25" spans="2:6" x14ac:dyDescent="0.3">
      <c r="B25" s="41">
        <v>14</v>
      </c>
      <c r="C25" s="41" t="s">
        <v>1436</v>
      </c>
      <c r="D25" s="24">
        <v>3</v>
      </c>
    </row>
    <row r="26" spans="2:6" x14ac:dyDescent="0.3">
      <c r="B26" s="41">
        <v>15</v>
      </c>
      <c r="C26" s="41" t="s">
        <v>1437</v>
      </c>
      <c r="D26" s="24">
        <v>3</v>
      </c>
    </row>
    <row r="27" spans="2:6" x14ac:dyDescent="0.3">
      <c r="B27" s="41">
        <v>16</v>
      </c>
      <c r="C27" s="41" t="s">
        <v>1438</v>
      </c>
      <c r="D27" s="24">
        <v>3</v>
      </c>
    </row>
    <row r="28" spans="2:6" x14ac:dyDescent="0.3">
      <c r="B28" s="41">
        <v>17</v>
      </c>
      <c r="C28" s="41" t="s">
        <v>1439</v>
      </c>
      <c r="D28" s="24">
        <v>3</v>
      </c>
    </row>
    <row r="29" spans="2:6" x14ac:dyDescent="0.3">
      <c r="B29" s="26"/>
      <c r="C29" s="42" t="s">
        <v>150</v>
      </c>
      <c r="D29" s="27">
        <f>SUM(D12:D28)</f>
        <v>55</v>
      </c>
    </row>
    <row r="31" spans="2:6" x14ac:dyDescent="0.3">
      <c r="B31" s="7" t="s">
        <v>197</v>
      </c>
      <c r="C31" s="7" t="s">
        <v>151</v>
      </c>
      <c r="D31" s="7" t="s">
        <v>215</v>
      </c>
      <c r="E31" s="7" t="s">
        <v>216</v>
      </c>
      <c r="F31" s="7" t="s">
        <v>217</v>
      </c>
    </row>
    <row r="32" spans="2:6" x14ac:dyDescent="0.3">
      <c r="B32" s="41">
        <v>1</v>
      </c>
      <c r="C32" s="41" t="s">
        <v>180</v>
      </c>
      <c r="D32" s="41" t="s">
        <v>1423</v>
      </c>
      <c r="E32" s="41">
        <v>1</v>
      </c>
      <c r="F32" s="41" t="s">
        <v>1440</v>
      </c>
    </row>
    <row r="33" spans="2:6" x14ac:dyDescent="0.3">
      <c r="B33" s="41">
        <v>2</v>
      </c>
      <c r="C33" s="41" t="s">
        <v>180</v>
      </c>
      <c r="D33" s="41" t="s">
        <v>1423</v>
      </c>
      <c r="E33" s="41">
        <v>2</v>
      </c>
      <c r="F33" s="41" t="s">
        <v>1441</v>
      </c>
    </row>
    <row r="34" spans="2:6" x14ac:dyDescent="0.3">
      <c r="B34" s="41">
        <v>3</v>
      </c>
      <c r="C34" s="41" t="s">
        <v>180</v>
      </c>
      <c r="D34" s="41" t="s">
        <v>1423</v>
      </c>
      <c r="E34" s="41">
        <v>3</v>
      </c>
      <c r="F34" s="41" t="s">
        <v>1442</v>
      </c>
    </row>
    <row r="35" spans="2:6" x14ac:dyDescent="0.3">
      <c r="B35" s="41">
        <v>4</v>
      </c>
      <c r="C35" s="41" t="s">
        <v>180</v>
      </c>
      <c r="D35" s="41" t="s">
        <v>1423</v>
      </c>
      <c r="E35" s="41">
        <v>4</v>
      </c>
      <c r="F35" s="41" t="s">
        <v>1443</v>
      </c>
    </row>
    <row r="36" spans="2:6" x14ac:dyDescent="0.3">
      <c r="B36" s="41">
        <v>5</v>
      </c>
      <c r="C36" s="41" t="s">
        <v>180</v>
      </c>
      <c r="D36" s="41" t="s">
        <v>1424</v>
      </c>
      <c r="E36" s="41">
        <v>1</v>
      </c>
      <c r="F36" s="41" t="s">
        <v>1444</v>
      </c>
    </row>
    <row r="37" spans="2:6" x14ac:dyDescent="0.3">
      <c r="B37" s="41">
        <v>6</v>
      </c>
      <c r="C37" s="41" t="s">
        <v>180</v>
      </c>
      <c r="D37" s="41" t="s">
        <v>1424</v>
      </c>
      <c r="E37" s="41">
        <v>2</v>
      </c>
      <c r="F37" s="41" t="s">
        <v>1445</v>
      </c>
    </row>
    <row r="38" spans="2:6" x14ac:dyDescent="0.3">
      <c r="B38" s="41">
        <v>7</v>
      </c>
      <c r="C38" s="41" t="s">
        <v>180</v>
      </c>
      <c r="D38" s="41" t="s">
        <v>1424</v>
      </c>
      <c r="E38" s="41">
        <v>3</v>
      </c>
      <c r="F38" s="41" t="s">
        <v>1446</v>
      </c>
    </row>
    <row r="39" spans="2:6" x14ac:dyDescent="0.3">
      <c r="B39" s="41">
        <v>8</v>
      </c>
      <c r="C39" s="41" t="s">
        <v>180</v>
      </c>
      <c r="D39" s="41" t="s">
        <v>1424</v>
      </c>
      <c r="E39" s="41">
        <v>4</v>
      </c>
      <c r="F39" s="41" t="s">
        <v>1447</v>
      </c>
    </row>
    <row r="40" spans="2:6" x14ac:dyDescent="0.3">
      <c r="B40" s="41">
        <v>9</v>
      </c>
      <c r="C40" s="41" t="s">
        <v>180</v>
      </c>
      <c r="D40" s="41" t="s">
        <v>1425</v>
      </c>
      <c r="E40" s="41">
        <v>1</v>
      </c>
      <c r="F40" s="41" t="s">
        <v>1448</v>
      </c>
    </row>
    <row r="41" spans="2:6" x14ac:dyDescent="0.3">
      <c r="B41" s="41">
        <v>10</v>
      </c>
      <c r="C41" s="41" t="s">
        <v>180</v>
      </c>
      <c r="D41" s="41" t="s">
        <v>1425</v>
      </c>
      <c r="E41" s="41">
        <v>2</v>
      </c>
      <c r="F41" s="41" t="s">
        <v>1449</v>
      </c>
    </row>
    <row r="42" spans="2:6" x14ac:dyDescent="0.3">
      <c r="B42" s="41">
        <v>11</v>
      </c>
      <c r="C42" s="41" t="s">
        <v>180</v>
      </c>
      <c r="D42" s="41" t="s">
        <v>1426</v>
      </c>
      <c r="E42" s="41">
        <v>1</v>
      </c>
      <c r="F42" s="41" t="s">
        <v>1450</v>
      </c>
    </row>
    <row r="43" spans="2:6" x14ac:dyDescent="0.3">
      <c r="B43" s="41">
        <v>12</v>
      </c>
      <c r="C43" s="41" t="s">
        <v>180</v>
      </c>
      <c r="D43" s="41" t="s">
        <v>1426</v>
      </c>
      <c r="E43" s="41">
        <v>2</v>
      </c>
      <c r="F43" s="41" t="s">
        <v>1451</v>
      </c>
    </row>
    <row r="44" spans="2:6" x14ac:dyDescent="0.3">
      <c r="B44" s="41">
        <v>13</v>
      </c>
      <c r="C44" s="41" t="s">
        <v>180</v>
      </c>
      <c r="D44" s="41" t="s">
        <v>1426</v>
      </c>
      <c r="E44" s="41">
        <v>3</v>
      </c>
      <c r="F44" s="41" t="s">
        <v>1452</v>
      </c>
    </row>
    <row r="45" spans="2:6" x14ac:dyDescent="0.3">
      <c r="B45" s="41">
        <v>14</v>
      </c>
      <c r="C45" s="41" t="s">
        <v>180</v>
      </c>
      <c r="D45" s="41" t="s">
        <v>1427</v>
      </c>
      <c r="E45" s="41">
        <v>1</v>
      </c>
      <c r="F45" s="41" t="s">
        <v>1453</v>
      </c>
    </row>
    <row r="46" spans="2:6" x14ac:dyDescent="0.3">
      <c r="B46" s="41">
        <v>15</v>
      </c>
      <c r="C46" s="41" t="s">
        <v>180</v>
      </c>
      <c r="D46" s="41" t="s">
        <v>1427</v>
      </c>
      <c r="E46" s="41">
        <v>2</v>
      </c>
      <c r="F46" s="41" t="s">
        <v>1454</v>
      </c>
    </row>
    <row r="47" spans="2:6" x14ac:dyDescent="0.3">
      <c r="B47" s="41">
        <v>16</v>
      </c>
      <c r="C47" s="41" t="s">
        <v>180</v>
      </c>
      <c r="D47" s="41" t="s">
        <v>1427</v>
      </c>
      <c r="E47" s="41">
        <v>3</v>
      </c>
      <c r="F47" s="41" t="s">
        <v>1455</v>
      </c>
    </row>
    <row r="48" spans="2:6" x14ac:dyDescent="0.3">
      <c r="B48" s="41">
        <v>17</v>
      </c>
      <c r="C48" s="41" t="s">
        <v>180</v>
      </c>
      <c r="D48" s="41" t="s">
        <v>1428</v>
      </c>
      <c r="E48" s="41">
        <v>1</v>
      </c>
      <c r="F48" s="41" t="s">
        <v>1456</v>
      </c>
    </row>
    <row r="49" spans="2:6" x14ac:dyDescent="0.3">
      <c r="B49" s="41">
        <v>18</v>
      </c>
      <c r="C49" s="41" t="s">
        <v>180</v>
      </c>
      <c r="D49" s="41" t="s">
        <v>1428</v>
      </c>
      <c r="E49" s="41">
        <v>2</v>
      </c>
      <c r="F49" s="41" t="s">
        <v>1457</v>
      </c>
    </row>
    <row r="50" spans="2:6" x14ac:dyDescent="0.3">
      <c r="B50" s="41">
        <v>19</v>
      </c>
      <c r="C50" s="41" t="s">
        <v>180</v>
      </c>
      <c r="D50" s="41" t="s">
        <v>1429</v>
      </c>
      <c r="E50" s="41">
        <v>1</v>
      </c>
      <c r="F50" s="41" t="s">
        <v>1458</v>
      </c>
    </row>
    <row r="51" spans="2:6" x14ac:dyDescent="0.3">
      <c r="B51" s="41">
        <v>20</v>
      </c>
      <c r="C51" s="41" t="s">
        <v>180</v>
      </c>
      <c r="D51" s="41" t="s">
        <v>1429</v>
      </c>
      <c r="E51" s="41">
        <v>2</v>
      </c>
      <c r="F51" s="41" t="s">
        <v>1459</v>
      </c>
    </row>
    <row r="52" spans="2:6" x14ac:dyDescent="0.3">
      <c r="B52" s="41">
        <v>21</v>
      </c>
      <c r="C52" s="41" t="s">
        <v>180</v>
      </c>
      <c r="D52" s="41" t="s">
        <v>1430</v>
      </c>
      <c r="E52" s="41">
        <v>1</v>
      </c>
      <c r="F52" s="41" t="s">
        <v>1460</v>
      </c>
    </row>
    <row r="53" spans="2:6" x14ac:dyDescent="0.3">
      <c r="B53" s="41">
        <v>22</v>
      </c>
      <c r="C53" s="41" t="s">
        <v>180</v>
      </c>
      <c r="D53" s="41" t="s">
        <v>1430</v>
      </c>
      <c r="E53" s="41">
        <v>2</v>
      </c>
      <c r="F53" s="41" t="s">
        <v>1461</v>
      </c>
    </row>
    <row r="54" spans="2:6" x14ac:dyDescent="0.3">
      <c r="B54" s="41">
        <v>23</v>
      </c>
      <c r="C54" s="41" t="s">
        <v>180</v>
      </c>
      <c r="D54" s="41" t="s">
        <v>1431</v>
      </c>
      <c r="E54" s="41">
        <v>1</v>
      </c>
      <c r="F54" s="41" t="s">
        <v>1462</v>
      </c>
    </row>
    <row r="55" spans="2:6" x14ac:dyDescent="0.3">
      <c r="B55" s="41">
        <v>24</v>
      </c>
      <c r="C55" s="41" t="s">
        <v>180</v>
      </c>
      <c r="D55" s="41" t="s">
        <v>1431</v>
      </c>
      <c r="E55" s="41">
        <v>2</v>
      </c>
      <c r="F55" s="41" t="s">
        <v>1463</v>
      </c>
    </row>
    <row r="56" spans="2:6" x14ac:dyDescent="0.3">
      <c r="B56" s="41">
        <v>25</v>
      </c>
      <c r="C56" s="41" t="s">
        <v>180</v>
      </c>
      <c r="D56" s="41" t="s">
        <v>1432</v>
      </c>
      <c r="E56" s="41">
        <v>1</v>
      </c>
      <c r="F56" s="41" t="s">
        <v>1464</v>
      </c>
    </row>
    <row r="57" spans="2:6" x14ac:dyDescent="0.3">
      <c r="B57" s="41">
        <v>26</v>
      </c>
      <c r="C57" s="41" t="s">
        <v>180</v>
      </c>
      <c r="D57" s="41" t="s">
        <v>1432</v>
      </c>
      <c r="E57" s="41">
        <v>2</v>
      </c>
      <c r="F57" s="41" t="s">
        <v>1465</v>
      </c>
    </row>
    <row r="58" spans="2:6" x14ac:dyDescent="0.3">
      <c r="B58" s="41">
        <v>27</v>
      </c>
      <c r="C58" s="41" t="s">
        <v>180</v>
      </c>
      <c r="D58" s="41" t="s">
        <v>1433</v>
      </c>
      <c r="E58" s="41">
        <v>1</v>
      </c>
      <c r="F58" s="41" t="s">
        <v>1466</v>
      </c>
    </row>
    <row r="59" spans="2:6" x14ac:dyDescent="0.3">
      <c r="B59" s="41">
        <v>28</v>
      </c>
      <c r="C59" s="41" t="s">
        <v>180</v>
      </c>
      <c r="D59" s="41" t="s">
        <v>1433</v>
      </c>
      <c r="E59" s="41">
        <v>2</v>
      </c>
      <c r="F59" s="41" t="s">
        <v>1467</v>
      </c>
    </row>
    <row r="60" spans="2:6" x14ac:dyDescent="0.3">
      <c r="B60" s="41">
        <v>29</v>
      </c>
      <c r="C60" s="41" t="s">
        <v>180</v>
      </c>
      <c r="D60" s="41" t="s">
        <v>1433</v>
      </c>
      <c r="E60" s="41">
        <v>3</v>
      </c>
      <c r="F60" s="41" t="s">
        <v>1468</v>
      </c>
    </row>
    <row r="61" spans="2:6" x14ac:dyDescent="0.3">
      <c r="B61" s="41">
        <v>30</v>
      </c>
      <c r="C61" s="41" t="s">
        <v>180</v>
      </c>
      <c r="D61" s="41" t="s">
        <v>1433</v>
      </c>
      <c r="E61" s="41">
        <v>4</v>
      </c>
      <c r="F61" s="41" t="s">
        <v>1469</v>
      </c>
    </row>
    <row r="62" spans="2:6" x14ac:dyDescent="0.3">
      <c r="B62" s="41">
        <v>31</v>
      </c>
      <c r="C62" s="41" t="s">
        <v>180</v>
      </c>
      <c r="D62" s="41" t="s">
        <v>1434</v>
      </c>
      <c r="E62" s="41">
        <v>1</v>
      </c>
      <c r="F62" s="41" t="s">
        <v>1470</v>
      </c>
    </row>
    <row r="63" spans="2:6" x14ac:dyDescent="0.3">
      <c r="B63" s="41">
        <v>32</v>
      </c>
      <c r="C63" s="41" t="s">
        <v>180</v>
      </c>
      <c r="D63" s="41" t="s">
        <v>1434</v>
      </c>
      <c r="E63" s="41">
        <v>2</v>
      </c>
      <c r="F63" s="41" t="s">
        <v>1471</v>
      </c>
    </row>
    <row r="64" spans="2:6" x14ac:dyDescent="0.3">
      <c r="B64" s="41">
        <v>33</v>
      </c>
      <c r="C64" s="41" t="s">
        <v>180</v>
      </c>
      <c r="D64" s="41" t="s">
        <v>1434</v>
      </c>
      <c r="E64" s="41">
        <v>3</v>
      </c>
      <c r="F64" s="41" t="s">
        <v>1472</v>
      </c>
    </row>
    <row r="65" spans="2:6" x14ac:dyDescent="0.3">
      <c r="B65" s="41">
        <v>34</v>
      </c>
      <c r="C65" s="41" t="s">
        <v>180</v>
      </c>
      <c r="D65" s="41" t="s">
        <v>1434</v>
      </c>
      <c r="E65" s="41">
        <v>4</v>
      </c>
      <c r="F65" s="41" t="s">
        <v>1473</v>
      </c>
    </row>
    <row r="66" spans="2:6" x14ac:dyDescent="0.3">
      <c r="B66" s="41">
        <v>35</v>
      </c>
      <c r="C66" s="41" t="s">
        <v>180</v>
      </c>
      <c r="D66" s="41" t="s">
        <v>1434</v>
      </c>
      <c r="E66" s="41">
        <v>5</v>
      </c>
      <c r="F66" s="41" t="s">
        <v>1474</v>
      </c>
    </row>
    <row r="67" spans="2:6" x14ac:dyDescent="0.3">
      <c r="B67" s="41">
        <v>36</v>
      </c>
      <c r="C67" s="41" t="s">
        <v>180</v>
      </c>
      <c r="D67" s="41" t="s">
        <v>1434</v>
      </c>
      <c r="E67" s="41">
        <v>6</v>
      </c>
      <c r="F67" s="41" t="s">
        <v>1475</v>
      </c>
    </row>
    <row r="68" spans="2:6" x14ac:dyDescent="0.3">
      <c r="B68" s="41">
        <v>37</v>
      </c>
      <c r="C68" s="41" t="s">
        <v>180</v>
      </c>
      <c r="D68" s="41" t="s">
        <v>1435</v>
      </c>
      <c r="E68" s="41">
        <v>1</v>
      </c>
      <c r="F68" s="41" t="s">
        <v>1476</v>
      </c>
    </row>
    <row r="69" spans="2:6" x14ac:dyDescent="0.3">
      <c r="B69" s="41">
        <v>38</v>
      </c>
      <c r="C69" s="41" t="s">
        <v>180</v>
      </c>
      <c r="D69" s="41" t="s">
        <v>1435</v>
      </c>
      <c r="E69" s="41">
        <v>2</v>
      </c>
      <c r="F69" s="41" t="s">
        <v>1477</v>
      </c>
    </row>
    <row r="70" spans="2:6" x14ac:dyDescent="0.3">
      <c r="B70" s="41">
        <v>39</v>
      </c>
      <c r="C70" s="41" t="s">
        <v>180</v>
      </c>
      <c r="D70" s="41" t="s">
        <v>1435</v>
      </c>
      <c r="E70" s="41">
        <v>3</v>
      </c>
      <c r="F70" s="41" t="s">
        <v>1478</v>
      </c>
    </row>
    <row r="71" spans="2:6" x14ac:dyDescent="0.3">
      <c r="B71" s="41">
        <v>40</v>
      </c>
      <c r="C71" s="41" t="s">
        <v>180</v>
      </c>
      <c r="D71" s="41" t="s">
        <v>1435</v>
      </c>
      <c r="E71" s="41">
        <v>4</v>
      </c>
      <c r="F71" s="41" t="s">
        <v>1479</v>
      </c>
    </row>
    <row r="72" spans="2:6" x14ac:dyDescent="0.3">
      <c r="B72" s="41">
        <v>41</v>
      </c>
      <c r="C72" s="41" t="s">
        <v>180</v>
      </c>
      <c r="D72" s="41" t="s">
        <v>1435</v>
      </c>
      <c r="E72" s="41">
        <v>5</v>
      </c>
      <c r="F72" s="41" t="s">
        <v>1480</v>
      </c>
    </row>
    <row r="73" spans="2:6" x14ac:dyDescent="0.3">
      <c r="B73" s="41">
        <v>42</v>
      </c>
      <c r="C73" s="41" t="s">
        <v>180</v>
      </c>
      <c r="D73" s="41" t="s">
        <v>1435</v>
      </c>
      <c r="E73" s="41">
        <v>6</v>
      </c>
      <c r="F73" s="41" t="s">
        <v>1481</v>
      </c>
    </row>
    <row r="74" spans="2:6" x14ac:dyDescent="0.3">
      <c r="B74" s="41">
        <v>43</v>
      </c>
      <c r="C74" s="41" t="s">
        <v>180</v>
      </c>
      <c r="D74" s="41" t="s">
        <v>1435</v>
      </c>
      <c r="E74" s="41">
        <v>7</v>
      </c>
      <c r="F74" s="41" t="s">
        <v>1482</v>
      </c>
    </row>
    <row r="75" spans="2:6" x14ac:dyDescent="0.3">
      <c r="B75" s="41">
        <v>44</v>
      </c>
      <c r="C75" s="41" t="s">
        <v>180</v>
      </c>
      <c r="D75" s="41" t="s">
        <v>1436</v>
      </c>
      <c r="E75" s="41">
        <v>1</v>
      </c>
      <c r="F75" s="41" t="s">
        <v>1483</v>
      </c>
    </row>
    <row r="76" spans="2:6" x14ac:dyDescent="0.3">
      <c r="B76" s="41">
        <v>45</v>
      </c>
      <c r="C76" s="41" t="s">
        <v>180</v>
      </c>
      <c r="D76" s="41" t="s">
        <v>1436</v>
      </c>
      <c r="E76" s="41">
        <v>2</v>
      </c>
      <c r="F76" s="41" t="s">
        <v>1484</v>
      </c>
    </row>
    <row r="77" spans="2:6" x14ac:dyDescent="0.3">
      <c r="B77" s="41">
        <v>46</v>
      </c>
      <c r="C77" s="41" t="s">
        <v>180</v>
      </c>
      <c r="D77" s="41" t="s">
        <v>1436</v>
      </c>
      <c r="E77" s="41">
        <v>3</v>
      </c>
      <c r="F77" s="41" t="s">
        <v>1485</v>
      </c>
    </row>
    <row r="78" spans="2:6" x14ac:dyDescent="0.3">
      <c r="B78" s="41">
        <v>47</v>
      </c>
      <c r="C78" s="41" t="s">
        <v>180</v>
      </c>
      <c r="D78" s="41" t="s">
        <v>1437</v>
      </c>
      <c r="E78" s="41">
        <v>1</v>
      </c>
      <c r="F78" s="41" t="s">
        <v>1486</v>
      </c>
    </row>
    <row r="79" spans="2:6" x14ac:dyDescent="0.3">
      <c r="B79" s="41">
        <v>48</v>
      </c>
      <c r="C79" s="41" t="s">
        <v>180</v>
      </c>
      <c r="D79" s="41" t="s">
        <v>1437</v>
      </c>
      <c r="E79" s="41">
        <v>2</v>
      </c>
      <c r="F79" s="41" t="s">
        <v>1487</v>
      </c>
    </row>
    <row r="80" spans="2:6" x14ac:dyDescent="0.3">
      <c r="B80" s="41">
        <v>49</v>
      </c>
      <c r="C80" s="41" t="s">
        <v>180</v>
      </c>
      <c r="D80" s="41" t="s">
        <v>1437</v>
      </c>
      <c r="E80" s="41">
        <v>3</v>
      </c>
      <c r="F80" s="41" t="s">
        <v>1488</v>
      </c>
    </row>
    <row r="81" spans="2:6" x14ac:dyDescent="0.3">
      <c r="B81" s="41">
        <v>50</v>
      </c>
      <c r="C81" s="41" t="s">
        <v>180</v>
      </c>
      <c r="D81" s="41" t="s">
        <v>1438</v>
      </c>
      <c r="E81" s="41">
        <v>1</v>
      </c>
      <c r="F81" s="41" t="s">
        <v>1489</v>
      </c>
    </row>
    <row r="82" spans="2:6" x14ac:dyDescent="0.3">
      <c r="B82" s="41">
        <v>51</v>
      </c>
      <c r="C82" s="41" t="s">
        <v>180</v>
      </c>
      <c r="D82" s="41" t="s">
        <v>1438</v>
      </c>
      <c r="E82" s="41">
        <v>2</v>
      </c>
      <c r="F82" s="41" t="s">
        <v>1490</v>
      </c>
    </row>
    <row r="83" spans="2:6" x14ac:dyDescent="0.3">
      <c r="B83" s="41">
        <v>52</v>
      </c>
      <c r="C83" s="41" t="s">
        <v>180</v>
      </c>
      <c r="D83" s="41" t="s">
        <v>1438</v>
      </c>
      <c r="E83" s="41">
        <v>3</v>
      </c>
      <c r="F83" s="41" t="s">
        <v>1491</v>
      </c>
    </row>
    <row r="84" spans="2:6" x14ac:dyDescent="0.3">
      <c r="B84" s="41">
        <v>53</v>
      </c>
      <c r="C84" s="41" t="s">
        <v>180</v>
      </c>
      <c r="D84" s="41" t="s">
        <v>1439</v>
      </c>
      <c r="E84" s="41">
        <v>1</v>
      </c>
      <c r="F84" s="41" t="s">
        <v>1492</v>
      </c>
    </row>
    <row r="85" spans="2:6" x14ac:dyDescent="0.3">
      <c r="B85" s="41">
        <v>54</v>
      </c>
      <c r="C85" s="41" t="s">
        <v>180</v>
      </c>
      <c r="D85" s="41" t="s">
        <v>1439</v>
      </c>
      <c r="E85" s="41">
        <v>2</v>
      </c>
      <c r="F85" s="41" t="s">
        <v>1493</v>
      </c>
    </row>
    <row r="86" spans="2:6" x14ac:dyDescent="0.3">
      <c r="B86" s="41">
        <v>55</v>
      </c>
      <c r="C86" s="41" t="s">
        <v>180</v>
      </c>
      <c r="D86" s="41" t="s">
        <v>1439</v>
      </c>
      <c r="E86" s="41">
        <v>3</v>
      </c>
      <c r="F86" s="41" t="s">
        <v>1494</v>
      </c>
    </row>
  </sheetData>
  <mergeCells count="1">
    <mergeCell ref="B2:F2"/>
  </mergeCells>
  <pageMargins left="0.25" right="0.25" top="0.75" bottom="0.75" header="0.3" footer="0.3"/>
  <pageSetup paperSize="9" scale="92" fitToHeight="0" orientation="landscape" horizontalDpi="300" verticalDpi="300" r:id="rId1"/>
  <headerFooter>
    <oddFooter>&amp;LPulse Oximetry allocation&amp;C&amp;A&amp;R&amp;P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2" tint="-0.249977111117893"/>
    <pageSetUpPr fitToPage="1"/>
  </sheetPr>
  <dimension ref="B2:J41"/>
  <sheetViews>
    <sheetView showGridLines="0" view="pageLayout" topLeftCell="A3" zoomScaleNormal="90" workbookViewId="0">
      <selection activeCell="C8" sqref="C8"/>
    </sheetView>
  </sheetViews>
  <sheetFormatPr defaultColWidth="8.5546875" defaultRowHeight="14.4" x14ac:dyDescent="0.3"/>
  <cols>
    <col min="2" max="2" width="14.88671875" customWidth="1"/>
    <col min="3" max="3" width="19" customWidth="1"/>
    <col min="4" max="4" width="24" customWidth="1"/>
    <col min="5" max="5" width="13.109375" customWidth="1"/>
    <col min="6" max="6" width="22.33203125" customWidth="1"/>
    <col min="9" max="9" width="34" customWidth="1"/>
  </cols>
  <sheetData>
    <row r="2" spans="2:10" ht="19.5" customHeight="1" x14ac:dyDescent="0.4">
      <c r="B2" s="246" t="s">
        <v>1495</v>
      </c>
      <c r="C2" s="246"/>
      <c r="D2" s="246"/>
      <c r="E2" s="246"/>
      <c r="F2" s="246"/>
    </row>
    <row r="3" spans="2:10" ht="15" customHeight="1" x14ac:dyDescent="0.3">
      <c r="C3" s="199"/>
    </row>
    <row r="5" spans="2:10" ht="18" customHeight="1" x14ac:dyDescent="0.35">
      <c r="B5" s="62" t="s">
        <v>1496</v>
      </c>
      <c r="D5" s="147">
        <f>COUNTA(F13:F41)</f>
        <v>29</v>
      </c>
    </row>
    <row r="6" spans="2:10" x14ac:dyDescent="0.3">
      <c r="B6" s="63" t="s">
        <v>288</v>
      </c>
    </row>
    <row r="8" spans="2:10" x14ac:dyDescent="0.3">
      <c r="B8" s="148" t="s">
        <v>146</v>
      </c>
      <c r="C8" s="37">
        <f t="array" ref="C8">SUMPRODUCT((ISNUMBER(SEARCH("Referral",D13:D41)))*1)+(SUMPRODUCT((ISNUMBER(SEARCH("Teaching",D13:D41)))*1))</f>
        <v>5</v>
      </c>
    </row>
    <row r="9" spans="2:10" x14ac:dyDescent="0.3">
      <c r="B9" s="148" t="s">
        <v>147</v>
      </c>
      <c r="C9" s="37">
        <f t="array" ref="C9">SUMPRODUCT((ISNUMBER(SEARCH("hospital",D13:D41)))*1)-SUMPRODUCT((ISNUMBER(SEARCH("Referral",D13:D41)))*(ISNUMBER(SEARCH("hospital",D13:D41)))*1)</f>
        <v>20</v>
      </c>
      <c r="D9" s="38"/>
    </row>
    <row r="10" spans="2:10" x14ac:dyDescent="0.3">
      <c r="B10" s="44" t="s">
        <v>148</v>
      </c>
      <c r="C10" s="45">
        <f>D5-C8-C9</f>
        <v>4</v>
      </c>
      <c r="D10" s="38"/>
    </row>
    <row r="12" spans="2:10" x14ac:dyDescent="0.3">
      <c r="B12" s="11" t="s">
        <v>197</v>
      </c>
      <c r="C12" s="11" t="s">
        <v>151</v>
      </c>
      <c r="D12" s="11" t="s">
        <v>215</v>
      </c>
      <c r="E12" s="11" t="s">
        <v>216</v>
      </c>
      <c r="F12" s="7" t="s">
        <v>217</v>
      </c>
      <c r="H12" s="12" t="s">
        <v>197</v>
      </c>
      <c r="I12" s="12" t="s">
        <v>215</v>
      </c>
      <c r="J12" s="12" t="s">
        <v>290</v>
      </c>
    </row>
    <row r="13" spans="2:10" x14ac:dyDescent="0.3">
      <c r="B13" s="149">
        <v>1</v>
      </c>
      <c r="C13" s="149" t="s">
        <v>181</v>
      </c>
      <c r="D13" s="149" t="s">
        <v>1497</v>
      </c>
      <c r="E13" s="149">
        <v>1</v>
      </c>
      <c r="F13" s="39" t="s">
        <v>1498</v>
      </c>
      <c r="H13" s="25">
        <v>1</v>
      </c>
      <c r="I13" s="25" t="str">
        <f t="array" ref="I13:I22">_xlfn.UNIQUE(D13:D41)</f>
        <v>Chepterwai Sub county hospital</v>
      </c>
      <c r="J13" s="25">
        <v>3</v>
      </c>
    </row>
    <row r="14" spans="2:10" x14ac:dyDescent="0.3">
      <c r="B14" s="149">
        <v>2</v>
      </c>
      <c r="C14" s="149" t="s">
        <v>181</v>
      </c>
      <c r="D14" s="149" t="s">
        <v>1497</v>
      </c>
      <c r="E14" s="149">
        <v>2</v>
      </c>
      <c r="F14" s="39" t="s">
        <v>1499</v>
      </c>
      <c r="H14" s="25">
        <v>2</v>
      </c>
      <c r="I14" s="25" t="str">
        <v>Kabiyet Sub county hospital</v>
      </c>
      <c r="J14" s="25">
        <v>3</v>
      </c>
    </row>
    <row r="15" spans="2:10" x14ac:dyDescent="0.3">
      <c r="B15" s="149">
        <v>3</v>
      </c>
      <c r="C15" s="149" t="s">
        <v>181</v>
      </c>
      <c r="D15" s="149" t="s">
        <v>1497</v>
      </c>
      <c r="E15" s="149">
        <v>3</v>
      </c>
      <c r="F15" s="39" t="s">
        <v>1500</v>
      </c>
      <c r="H15" s="25">
        <v>3</v>
      </c>
      <c r="I15" s="25" t="str">
        <v>Kapkangani Health Centre</v>
      </c>
      <c r="J15" s="25">
        <v>2</v>
      </c>
    </row>
    <row r="16" spans="2:10" x14ac:dyDescent="0.3">
      <c r="B16" s="149">
        <v>4</v>
      </c>
      <c r="C16" s="149" t="s">
        <v>181</v>
      </c>
      <c r="D16" s="149" t="s">
        <v>1501</v>
      </c>
      <c r="E16" s="149">
        <v>1</v>
      </c>
      <c r="F16" s="39" t="s">
        <v>1502</v>
      </c>
      <c r="H16" s="25">
        <v>4</v>
      </c>
      <c r="I16" s="25" t="str">
        <v>Kapsabet County Referral Hosp</v>
      </c>
      <c r="J16" s="25">
        <v>5</v>
      </c>
    </row>
    <row r="17" spans="2:10" x14ac:dyDescent="0.3">
      <c r="B17" s="149">
        <v>5</v>
      </c>
      <c r="C17" s="149" t="s">
        <v>181</v>
      </c>
      <c r="D17" s="149" t="s">
        <v>1501</v>
      </c>
      <c r="E17" s="149">
        <v>2</v>
      </c>
      <c r="F17" s="39" t="s">
        <v>1503</v>
      </c>
      <c r="H17" s="25">
        <v>5</v>
      </c>
      <c r="I17" s="25" t="str">
        <v>Kaptumo Sub county hospital</v>
      </c>
      <c r="J17" s="25">
        <v>3</v>
      </c>
    </row>
    <row r="18" spans="2:10" x14ac:dyDescent="0.3">
      <c r="B18" s="149">
        <v>6</v>
      </c>
      <c r="C18" s="149" t="s">
        <v>181</v>
      </c>
      <c r="D18" s="149" t="s">
        <v>1501</v>
      </c>
      <c r="E18" s="149">
        <v>3</v>
      </c>
      <c r="F18" s="39" t="s">
        <v>1504</v>
      </c>
      <c r="H18" s="25">
        <v>6</v>
      </c>
      <c r="I18" s="25" t="str">
        <v>Kibwareng  Health Centre</v>
      </c>
      <c r="J18" s="25">
        <v>1</v>
      </c>
    </row>
    <row r="19" spans="2:10" x14ac:dyDescent="0.3">
      <c r="B19" s="149">
        <v>7</v>
      </c>
      <c r="C19" s="149" t="s">
        <v>181</v>
      </c>
      <c r="D19" s="149" t="s">
        <v>1505</v>
      </c>
      <c r="E19" s="149">
        <v>1</v>
      </c>
      <c r="F19" s="39" t="s">
        <v>1506</v>
      </c>
      <c r="H19" s="25">
        <v>7</v>
      </c>
      <c r="I19" s="25" t="str">
        <v>Kilibwoni Health Centre</v>
      </c>
      <c r="J19" s="25">
        <v>1</v>
      </c>
    </row>
    <row r="20" spans="2:10" x14ac:dyDescent="0.3">
      <c r="B20" s="149">
        <v>8</v>
      </c>
      <c r="C20" s="149" t="s">
        <v>181</v>
      </c>
      <c r="D20" s="149" t="s">
        <v>1505</v>
      </c>
      <c r="E20" s="149">
        <v>2</v>
      </c>
      <c r="F20" s="39" t="s">
        <v>1507</v>
      </c>
      <c r="H20" s="25">
        <v>8</v>
      </c>
      <c r="I20" s="25" t="str">
        <v>Meteitei Sub county hospital</v>
      </c>
      <c r="J20" s="25">
        <v>3</v>
      </c>
    </row>
    <row r="21" spans="2:10" x14ac:dyDescent="0.3">
      <c r="B21" s="149">
        <v>9</v>
      </c>
      <c r="C21" s="149" t="s">
        <v>181</v>
      </c>
      <c r="D21" s="149" t="s">
        <v>1508</v>
      </c>
      <c r="E21" s="149">
        <v>1</v>
      </c>
      <c r="F21" s="39" t="s">
        <v>1509</v>
      </c>
      <c r="H21" s="25">
        <v>9</v>
      </c>
      <c r="I21" s="25" t="str">
        <v>Mosoriot Sub county hospital</v>
      </c>
      <c r="J21" s="25">
        <v>4</v>
      </c>
    </row>
    <row r="22" spans="2:10" x14ac:dyDescent="0.3">
      <c r="B22" s="149">
        <v>10</v>
      </c>
      <c r="C22" s="149" t="s">
        <v>181</v>
      </c>
      <c r="D22" s="149" t="s">
        <v>1508</v>
      </c>
      <c r="E22" s="149">
        <v>2</v>
      </c>
      <c r="F22" s="39" t="s">
        <v>1510</v>
      </c>
      <c r="H22" s="25">
        <v>10</v>
      </c>
      <c r="I22" s="25" t="str">
        <v>Nandi Hills Sub County Hospital</v>
      </c>
      <c r="J22" s="25">
        <v>4</v>
      </c>
    </row>
    <row r="23" spans="2:10" x14ac:dyDescent="0.3">
      <c r="B23" s="149">
        <v>11</v>
      </c>
      <c r="C23" s="149" t="s">
        <v>181</v>
      </c>
      <c r="D23" s="149" t="s">
        <v>1508</v>
      </c>
      <c r="E23" s="149">
        <v>3</v>
      </c>
      <c r="F23" s="39" t="s">
        <v>1511</v>
      </c>
      <c r="H23" s="26"/>
      <c r="I23" s="45" t="s">
        <v>1512</v>
      </c>
      <c r="J23" s="45">
        <f>SUM(J13:J22)</f>
        <v>29</v>
      </c>
    </row>
    <row r="24" spans="2:10" x14ac:dyDescent="0.3">
      <c r="B24" s="149">
        <v>12</v>
      </c>
      <c r="C24" s="149" t="s">
        <v>181</v>
      </c>
      <c r="D24" s="149" t="s">
        <v>1508</v>
      </c>
      <c r="E24" s="149">
        <v>4</v>
      </c>
      <c r="F24" s="39" t="s">
        <v>1513</v>
      </c>
    </row>
    <row r="25" spans="2:10" x14ac:dyDescent="0.3">
      <c r="B25" s="149">
        <v>13</v>
      </c>
      <c r="C25" s="149" t="s">
        <v>181</v>
      </c>
      <c r="D25" s="149" t="s">
        <v>1508</v>
      </c>
      <c r="E25" s="149">
        <v>5</v>
      </c>
      <c r="F25" s="39" t="s">
        <v>1514</v>
      </c>
    </row>
    <row r="26" spans="2:10" x14ac:dyDescent="0.3">
      <c r="B26" s="149">
        <v>14</v>
      </c>
      <c r="C26" s="149" t="s">
        <v>181</v>
      </c>
      <c r="D26" s="149" t="s">
        <v>1515</v>
      </c>
      <c r="E26" s="149">
        <v>1</v>
      </c>
      <c r="F26" s="39" t="s">
        <v>1516</v>
      </c>
    </row>
    <row r="27" spans="2:10" x14ac:dyDescent="0.3">
      <c r="B27" s="149">
        <v>15</v>
      </c>
      <c r="C27" s="149" t="s">
        <v>181</v>
      </c>
      <c r="D27" s="149" t="s">
        <v>1515</v>
      </c>
      <c r="E27" s="149">
        <v>2</v>
      </c>
      <c r="F27" s="39" t="s">
        <v>1517</v>
      </c>
    </row>
    <row r="28" spans="2:10" x14ac:dyDescent="0.3">
      <c r="B28" s="149">
        <v>16</v>
      </c>
      <c r="C28" s="149" t="s">
        <v>181</v>
      </c>
      <c r="D28" s="149" t="s">
        <v>1515</v>
      </c>
      <c r="E28" s="149">
        <v>3</v>
      </c>
      <c r="F28" s="39" t="s">
        <v>1518</v>
      </c>
    </row>
    <row r="29" spans="2:10" x14ac:dyDescent="0.3">
      <c r="B29" s="149">
        <v>17</v>
      </c>
      <c r="C29" s="149" t="s">
        <v>181</v>
      </c>
      <c r="D29" s="149" t="s">
        <v>1519</v>
      </c>
      <c r="E29" s="149">
        <v>1</v>
      </c>
      <c r="F29" s="39" t="s">
        <v>1520</v>
      </c>
    </row>
    <row r="30" spans="2:10" x14ac:dyDescent="0.3">
      <c r="B30" s="149">
        <v>18</v>
      </c>
      <c r="C30" s="149" t="s">
        <v>181</v>
      </c>
      <c r="D30" s="149" t="s">
        <v>1521</v>
      </c>
      <c r="E30" s="149">
        <v>1</v>
      </c>
      <c r="F30" s="39" t="s">
        <v>1522</v>
      </c>
    </row>
    <row r="31" spans="2:10" x14ac:dyDescent="0.3">
      <c r="B31" s="149">
        <v>19</v>
      </c>
      <c r="C31" s="149" t="s">
        <v>181</v>
      </c>
      <c r="D31" s="149" t="s">
        <v>1523</v>
      </c>
      <c r="E31" s="149">
        <v>1</v>
      </c>
      <c r="F31" s="39" t="s">
        <v>1524</v>
      </c>
    </row>
    <row r="32" spans="2:10" x14ac:dyDescent="0.3">
      <c r="B32" s="149">
        <v>20</v>
      </c>
      <c r="C32" s="149" t="s">
        <v>181</v>
      </c>
      <c r="D32" s="149" t="s">
        <v>1523</v>
      </c>
      <c r="E32" s="149">
        <v>2</v>
      </c>
      <c r="F32" s="39" t="s">
        <v>1525</v>
      </c>
    </row>
    <row r="33" spans="2:6" x14ac:dyDescent="0.3">
      <c r="B33" s="149">
        <v>21</v>
      </c>
      <c r="C33" s="149" t="s">
        <v>181</v>
      </c>
      <c r="D33" s="149" t="s">
        <v>1523</v>
      </c>
      <c r="E33" s="149">
        <v>3</v>
      </c>
      <c r="F33" s="39" t="s">
        <v>1526</v>
      </c>
    </row>
    <row r="34" spans="2:6" x14ac:dyDescent="0.3">
      <c r="B34" s="149">
        <v>22</v>
      </c>
      <c r="C34" s="149" t="s">
        <v>181</v>
      </c>
      <c r="D34" s="149" t="s">
        <v>1527</v>
      </c>
      <c r="E34" s="149">
        <v>1</v>
      </c>
      <c r="F34" s="39" t="s">
        <v>1528</v>
      </c>
    </row>
    <row r="35" spans="2:6" x14ac:dyDescent="0.3">
      <c r="B35" s="149">
        <v>23</v>
      </c>
      <c r="C35" s="149" t="s">
        <v>181</v>
      </c>
      <c r="D35" s="149" t="s">
        <v>1527</v>
      </c>
      <c r="E35" s="149">
        <v>2</v>
      </c>
      <c r="F35" s="39" t="s">
        <v>1529</v>
      </c>
    </row>
    <row r="36" spans="2:6" x14ac:dyDescent="0.3">
      <c r="B36" s="149">
        <v>24</v>
      </c>
      <c r="C36" s="149" t="s">
        <v>181</v>
      </c>
      <c r="D36" s="149" t="s">
        <v>1527</v>
      </c>
      <c r="E36" s="149">
        <v>3</v>
      </c>
      <c r="F36" s="39" t="s">
        <v>1530</v>
      </c>
    </row>
    <row r="37" spans="2:6" x14ac:dyDescent="0.3">
      <c r="B37" s="149">
        <v>25</v>
      </c>
      <c r="C37" s="149" t="s">
        <v>181</v>
      </c>
      <c r="D37" s="149" t="s">
        <v>1527</v>
      </c>
      <c r="E37" s="149">
        <v>4</v>
      </c>
      <c r="F37" s="39" t="s">
        <v>1531</v>
      </c>
    </row>
    <row r="38" spans="2:6" x14ac:dyDescent="0.3">
      <c r="B38" s="149">
        <v>26</v>
      </c>
      <c r="C38" s="149" t="s">
        <v>181</v>
      </c>
      <c r="D38" s="149" t="s">
        <v>1532</v>
      </c>
      <c r="E38" s="149">
        <v>1</v>
      </c>
      <c r="F38" s="39" t="s">
        <v>1533</v>
      </c>
    </row>
    <row r="39" spans="2:6" x14ac:dyDescent="0.3">
      <c r="B39" s="149">
        <v>27</v>
      </c>
      <c r="C39" s="149" t="s">
        <v>181</v>
      </c>
      <c r="D39" s="149" t="s">
        <v>1532</v>
      </c>
      <c r="E39" s="149">
        <v>2</v>
      </c>
      <c r="F39" s="39" t="s">
        <v>1534</v>
      </c>
    </row>
    <row r="40" spans="2:6" x14ac:dyDescent="0.3">
      <c r="B40" s="149">
        <v>28</v>
      </c>
      <c r="C40" s="149" t="s">
        <v>181</v>
      </c>
      <c r="D40" s="149" t="s">
        <v>1532</v>
      </c>
      <c r="E40" s="149">
        <v>3</v>
      </c>
      <c r="F40" s="39" t="s">
        <v>1535</v>
      </c>
    </row>
    <row r="41" spans="2:6" x14ac:dyDescent="0.3">
      <c r="B41" s="150">
        <v>29</v>
      </c>
      <c r="C41" s="150" t="s">
        <v>181</v>
      </c>
      <c r="D41" s="150" t="s">
        <v>1532</v>
      </c>
      <c r="E41" s="150">
        <v>4</v>
      </c>
      <c r="F41" s="41" t="s">
        <v>1536</v>
      </c>
    </row>
  </sheetData>
  <mergeCells count="1">
    <mergeCell ref="B2:F2"/>
  </mergeCells>
  <pageMargins left="0.25" right="0.25" top="0.75" bottom="0.75" header="0.3" footer="0.3"/>
  <pageSetup paperSize="9" scale="88" fitToHeight="0" orientation="landscape" horizontalDpi="300" verticalDpi="300" r:id="rId1"/>
  <headerFooter>
    <oddFooter>&amp;LPulse Oximetry allocation&amp;C&amp;A&amp;R&amp;P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2" tint="-0.249977111117893"/>
    <pageSetUpPr fitToPage="1"/>
  </sheetPr>
  <dimension ref="B2:F36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1537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1538</v>
      </c>
      <c r="C4" s="22">
        <v>18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13</v>
      </c>
      <c r="E8" s="38" t="s">
        <v>1539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1540</v>
      </c>
      <c r="D11" s="40">
        <v>4</v>
      </c>
    </row>
    <row r="12" spans="2:6" x14ac:dyDescent="0.3">
      <c r="B12" s="39">
        <v>2</v>
      </c>
      <c r="C12" s="39" t="s">
        <v>1541</v>
      </c>
      <c r="D12" s="40">
        <v>3</v>
      </c>
    </row>
    <row r="13" spans="2:6" x14ac:dyDescent="0.3">
      <c r="B13" s="39">
        <v>3</v>
      </c>
      <c r="C13" s="39" t="s">
        <v>212</v>
      </c>
      <c r="D13" s="40">
        <v>5</v>
      </c>
    </row>
    <row r="14" spans="2:6" x14ac:dyDescent="0.3">
      <c r="B14" s="39">
        <v>4</v>
      </c>
      <c r="C14" s="39" t="s">
        <v>1542</v>
      </c>
      <c r="D14" s="40">
        <v>3</v>
      </c>
    </row>
    <row r="15" spans="2:6" x14ac:dyDescent="0.3">
      <c r="B15" s="41">
        <v>5</v>
      </c>
      <c r="C15" s="39" t="s">
        <v>1543</v>
      </c>
      <c r="D15" s="40">
        <v>3</v>
      </c>
    </row>
    <row r="16" spans="2:6" x14ac:dyDescent="0.3">
      <c r="C16" s="42" t="s">
        <v>150</v>
      </c>
      <c r="D16" s="43">
        <f>SUM(D11:D15)</f>
        <v>18</v>
      </c>
    </row>
    <row r="18" spans="2:6" x14ac:dyDescent="0.3">
      <c r="B18" s="7" t="s">
        <v>197</v>
      </c>
      <c r="C18" s="7" t="s">
        <v>151</v>
      </c>
      <c r="D18" s="7" t="s">
        <v>215</v>
      </c>
      <c r="E18" s="7" t="s">
        <v>216</v>
      </c>
      <c r="F18" s="7" t="s">
        <v>217</v>
      </c>
    </row>
    <row r="19" spans="2:6" x14ac:dyDescent="0.3">
      <c r="B19" s="41">
        <v>1</v>
      </c>
      <c r="C19" s="41" t="s">
        <v>182</v>
      </c>
      <c r="D19" s="41" t="s">
        <v>1540</v>
      </c>
      <c r="E19" s="41">
        <v>1</v>
      </c>
      <c r="F19" s="41" t="s">
        <v>1544</v>
      </c>
    </row>
    <row r="20" spans="2:6" x14ac:dyDescent="0.3">
      <c r="B20" s="41">
        <v>2</v>
      </c>
      <c r="C20" s="41" t="s">
        <v>182</v>
      </c>
      <c r="D20" s="41" t="s">
        <v>1540</v>
      </c>
      <c r="E20" s="41">
        <v>2</v>
      </c>
      <c r="F20" s="41" t="s">
        <v>1545</v>
      </c>
    </row>
    <row r="21" spans="2:6" x14ac:dyDescent="0.3">
      <c r="B21" s="41">
        <v>3</v>
      </c>
      <c r="C21" s="41" t="s">
        <v>182</v>
      </c>
      <c r="D21" s="41" t="s">
        <v>1540</v>
      </c>
      <c r="E21" s="41">
        <v>3</v>
      </c>
      <c r="F21" s="41" t="s">
        <v>1546</v>
      </c>
    </row>
    <row r="22" spans="2:6" x14ac:dyDescent="0.3">
      <c r="B22" s="41">
        <v>4</v>
      </c>
      <c r="C22" s="41" t="s">
        <v>182</v>
      </c>
      <c r="D22" s="41" t="s">
        <v>1540</v>
      </c>
      <c r="E22" s="41">
        <v>4</v>
      </c>
      <c r="F22" s="41" t="s">
        <v>1547</v>
      </c>
    </row>
    <row r="23" spans="2:6" x14ac:dyDescent="0.3">
      <c r="B23" s="41">
        <v>5</v>
      </c>
      <c r="C23" s="41" t="s">
        <v>182</v>
      </c>
      <c r="D23" s="41" t="s">
        <v>1541</v>
      </c>
      <c r="E23" s="41">
        <v>1</v>
      </c>
      <c r="F23" s="41" t="s">
        <v>1548</v>
      </c>
    </row>
    <row r="24" spans="2:6" x14ac:dyDescent="0.3">
      <c r="B24" s="41">
        <v>6</v>
      </c>
      <c r="C24" s="41" t="s">
        <v>182</v>
      </c>
      <c r="D24" s="41" t="s">
        <v>1541</v>
      </c>
      <c r="E24" s="41">
        <v>2</v>
      </c>
      <c r="F24" s="41" t="s">
        <v>1549</v>
      </c>
    </row>
    <row r="25" spans="2:6" x14ac:dyDescent="0.3">
      <c r="B25" s="41">
        <v>7</v>
      </c>
      <c r="C25" s="41" t="s">
        <v>182</v>
      </c>
      <c r="D25" s="41" t="s">
        <v>1541</v>
      </c>
      <c r="E25" s="41">
        <v>3</v>
      </c>
      <c r="F25" s="41" t="s">
        <v>1550</v>
      </c>
    </row>
    <row r="26" spans="2:6" x14ac:dyDescent="0.3">
      <c r="B26" s="41">
        <v>8</v>
      </c>
      <c r="C26" s="41" t="s">
        <v>182</v>
      </c>
      <c r="D26" s="41" t="s">
        <v>212</v>
      </c>
      <c r="E26" s="41">
        <v>1</v>
      </c>
      <c r="F26" s="41" t="s">
        <v>275</v>
      </c>
    </row>
    <row r="27" spans="2:6" x14ac:dyDescent="0.3">
      <c r="B27" s="41">
        <v>9</v>
      </c>
      <c r="C27" s="41" t="s">
        <v>182</v>
      </c>
      <c r="D27" s="41" t="s">
        <v>212</v>
      </c>
      <c r="E27" s="41">
        <v>2</v>
      </c>
      <c r="F27" s="41" t="s">
        <v>276</v>
      </c>
    </row>
    <row r="28" spans="2:6" x14ac:dyDescent="0.3">
      <c r="B28" s="41">
        <v>10</v>
      </c>
      <c r="C28" s="41" t="s">
        <v>182</v>
      </c>
      <c r="D28" s="41" t="s">
        <v>212</v>
      </c>
      <c r="E28" s="41">
        <v>3</v>
      </c>
      <c r="F28" s="41" t="s">
        <v>277</v>
      </c>
    </row>
    <row r="29" spans="2:6" x14ac:dyDescent="0.3">
      <c r="B29" s="41">
        <v>11</v>
      </c>
      <c r="C29" s="41" t="s">
        <v>182</v>
      </c>
      <c r="D29" s="41" t="s">
        <v>212</v>
      </c>
      <c r="E29" s="41">
        <v>4</v>
      </c>
      <c r="F29" s="41" t="s">
        <v>278</v>
      </c>
    </row>
    <row r="30" spans="2:6" x14ac:dyDescent="0.3">
      <c r="B30" s="41">
        <v>12</v>
      </c>
      <c r="C30" s="41" t="s">
        <v>182</v>
      </c>
      <c r="D30" s="41" t="s">
        <v>212</v>
      </c>
      <c r="E30" s="41">
        <v>5</v>
      </c>
      <c r="F30" s="41" t="s">
        <v>279</v>
      </c>
    </row>
    <row r="31" spans="2:6" x14ac:dyDescent="0.3">
      <c r="B31" s="41">
        <v>13</v>
      </c>
      <c r="C31" s="41" t="s">
        <v>182</v>
      </c>
      <c r="D31" s="41" t="s">
        <v>1542</v>
      </c>
      <c r="E31" s="41">
        <v>1</v>
      </c>
      <c r="F31" s="41" t="s">
        <v>1551</v>
      </c>
    </row>
    <row r="32" spans="2:6" x14ac:dyDescent="0.3">
      <c r="B32" s="41">
        <v>14</v>
      </c>
      <c r="C32" s="41" t="s">
        <v>182</v>
      </c>
      <c r="D32" s="41" t="s">
        <v>1542</v>
      </c>
      <c r="E32" s="41">
        <v>2</v>
      </c>
      <c r="F32" s="41" t="s">
        <v>1552</v>
      </c>
    </row>
    <row r="33" spans="2:6" x14ac:dyDescent="0.3">
      <c r="B33" s="41">
        <v>15</v>
      </c>
      <c r="C33" s="41" t="s">
        <v>182</v>
      </c>
      <c r="D33" s="41" t="s">
        <v>1542</v>
      </c>
      <c r="E33" s="41">
        <v>3</v>
      </c>
      <c r="F33" s="41" t="s">
        <v>1553</v>
      </c>
    </row>
    <row r="34" spans="2:6" x14ac:dyDescent="0.3">
      <c r="B34" s="41">
        <v>16</v>
      </c>
      <c r="C34" s="41" t="s">
        <v>182</v>
      </c>
      <c r="D34" s="41" t="s">
        <v>1543</v>
      </c>
      <c r="E34" s="41">
        <v>1</v>
      </c>
      <c r="F34" s="41" t="s">
        <v>1554</v>
      </c>
    </row>
    <row r="35" spans="2:6" x14ac:dyDescent="0.3">
      <c r="B35" s="41">
        <v>17</v>
      </c>
      <c r="C35" s="41" t="s">
        <v>182</v>
      </c>
      <c r="D35" s="41" t="s">
        <v>1543</v>
      </c>
      <c r="E35" s="41">
        <v>2</v>
      </c>
      <c r="F35" s="41" t="s">
        <v>1555</v>
      </c>
    </row>
    <row r="36" spans="2:6" x14ac:dyDescent="0.3">
      <c r="B36" s="41">
        <v>18</v>
      </c>
      <c r="C36" s="41" t="s">
        <v>182</v>
      </c>
      <c r="D36" s="41" t="s">
        <v>1543</v>
      </c>
      <c r="E36" s="41">
        <v>3</v>
      </c>
      <c r="F36" s="41" t="s">
        <v>1556</v>
      </c>
    </row>
  </sheetData>
  <mergeCells count="1">
    <mergeCell ref="B2:F2"/>
  </mergeCells>
  <pageMargins left="0.25" right="0.25" top="0.75" bottom="0.75" header="0.3" footer="0.3"/>
  <pageSetup paperSize="9" scale="86" fitToHeight="0" orientation="landscape" horizontalDpi="300" verticalDpi="300" r:id="rId1"/>
  <headerFooter>
    <oddFooter>&amp;LPulse Oximetry allocation&amp;C&amp;A&amp;R&amp;P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2" tint="-0.249977111117893"/>
    <pageSetUpPr fitToPage="1"/>
  </sheetPr>
  <dimension ref="B2:F47"/>
  <sheetViews>
    <sheetView showGridLines="0" view="pageLayout" topLeftCell="B2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1557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1558</v>
      </c>
      <c r="C4" s="22">
        <v>26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21</v>
      </c>
      <c r="E8" s="38" t="s">
        <v>1559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1560</v>
      </c>
      <c r="D11" s="40">
        <v>3</v>
      </c>
    </row>
    <row r="12" spans="2:6" x14ac:dyDescent="0.3">
      <c r="B12" s="39">
        <v>2</v>
      </c>
      <c r="C12" s="39" t="s">
        <v>1561</v>
      </c>
      <c r="D12" s="40">
        <v>3</v>
      </c>
    </row>
    <row r="13" spans="2:6" x14ac:dyDescent="0.3">
      <c r="B13" s="39">
        <v>3</v>
      </c>
      <c r="C13" s="39" t="s">
        <v>1562</v>
      </c>
      <c r="D13" s="40">
        <v>3</v>
      </c>
    </row>
    <row r="14" spans="2:6" x14ac:dyDescent="0.3">
      <c r="B14" s="39">
        <v>4</v>
      </c>
      <c r="C14" s="39" t="s">
        <v>1563</v>
      </c>
      <c r="D14" s="40">
        <v>3</v>
      </c>
    </row>
    <row r="15" spans="2:6" x14ac:dyDescent="0.3">
      <c r="B15" s="39">
        <v>5</v>
      </c>
      <c r="C15" s="39" t="s">
        <v>1564</v>
      </c>
      <c r="D15" s="40">
        <v>3</v>
      </c>
    </row>
    <row r="16" spans="2:6" x14ac:dyDescent="0.3">
      <c r="B16" s="39">
        <v>6</v>
      </c>
      <c r="C16" s="39" t="s">
        <v>1565</v>
      </c>
      <c r="D16" s="40">
        <v>5</v>
      </c>
    </row>
    <row r="17" spans="2:6" x14ac:dyDescent="0.3">
      <c r="B17" s="39">
        <v>7</v>
      </c>
      <c r="C17" s="39" t="s">
        <v>1566</v>
      </c>
      <c r="D17" s="40">
        <v>3</v>
      </c>
    </row>
    <row r="18" spans="2:6" x14ac:dyDescent="0.3">
      <c r="B18" s="41">
        <v>8</v>
      </c>
      <c r="C18" s="39" t="s">
        <v>1567</v>
      </c>
      <c r="D18" s="40">
        <v>3</v>
      </c>
    </row>
    <row r="19" spans="2:6" x14ac:dyDescent="0.3">
      <c r="C19" s="42" t="s">
        <v>150</v>
      </c>
      <c r="D19" s="43">
        <f>SUM(D11:D18)</f>
        <v>26</v>
      </c>
    </row>
    <row r="21" spans="2:6" x14ac:dyDescent="0.3">
      <c r="B21" s="7" t="s">
        <v>197</v>
      </c>
      <c r="C21" s="7" t="s">
        <v>151</v>
      </c>
      <c r="D21" s="7" t="s">
        <v>215</v>
      </c>
      <c r="E21" s="7" t="s">
        <v>216</v>
      </c>
      <c r="F21" s="7" t="s">
        <v>217</v>
      </c>
    </row>
    <row r="22" spans="2:6" x14ac:dyDescent="0.3">
      <c r="B22" s="41">
        <v>1</v>
      </c>
      <c r="C22" s="41" t="s">
        <v>183</v>
      </c>
      <c r="D22" s="41" t="s">
        <v>1560</v>
      </c>
      <c r="E22" s="41">
        <v>1</v>
      </c>
      <c r="F22" s="41" t="s">
        <v>1568</v>
      </c>
    </row>
    <row r="23" spans="2:6" x14ac:dyDescent="0.3">
      <c r="B23" s="41">
        <v>2</v>
      </c>
      <c r="C23" s="41" t="s">
        <v>183</v>
      </c>
      <c r="D23" s="41" t="s">
        <v>1560</v>
      </c>
      <c r="E23" s="41">
        <v>2</v>
      </c>
      <c r="F23" s="41" t="s">
        <v>1569</v>
      </c>
    </row>
    <row r="24" spans="2:6" x14ac:dyDescent="0.3">
      <c r="B24" s="41">
        <v>3</v>
      </c>
      <c r="C24" s="41" t="s">
        <v>183</v>
      </c>
      <c r="D24" s="41" t="s">
        <v>1560</v>
      </c>
      <c r="E24" s="41">
        <v>3</v>
      </c>
      <c r="F24" s="41" t="s">
        <v>1570</v>
      </c>
    </row>
    <row r="25" spans="2:6" x14ac:dyDescent="0.3">
      <c r="B25" s="41">
        <v>4</v>
      </c>
      <c r="C25" s="41" t="s">
        <v>183</v>
      </c>
      <c r="D25" s="41" t="s">
        <v>1561</v>
      </c>
      <c r="E25" s="41">
        <v>1</v>
      </c>
      <c r="F25" s="41" t="s">
        <v>1571</v>
      </c>
    </row>
    <row r="26" spans="2:6" x14ac:dyDescent="0.3">
      <c r="B26" s="41">
        <v>5</v>
      </c>
      <c r="C26" s="41" t="s">
        <v>183</v>
      </c>
      <c r="D26" s="41" t="s">
        <v>1561</v>
      </c>
      <c r="E26" s="41">
        <v>2</v>
      </c>
      <c r="F26" s="41" t="s">
        <v>1572</v>
      </c>
    </row>
    <row r="27" spans="2:6" x14ac:dyDescent="0.3">
      <c r="B27" s="41">
        <v>6</v>
      </c>
      <c r="C27" s="41" t="s">
        <v>183</v>
      </c>
      <c r="D27" s="41" t="s">
        <v>1561</v>
      </c>
      <c r="E27" s="41">
        <v>3</v>
      </c>
      <c r="F27" s="41" t="s">
        <v>1573</v>
      </c>
    </row>
    <row r="28" spans="2:6" x14ac:dyDescent="0.3">
      <c r="B28" s="41">
        <v>7</v>
      </c>
      <c r="C28" s="41" t="s">
        <v>183</v>
      </c>
      <c r="D28" s="41" t="s">
        <v>1562</v>
      </c>
      <c r="E28" s="41">
        <v>1</v>
      </c>
      <c r="F28" s="41" t="s">
        <v>1574</v>
      </c>
    </row>
    <row r="29" spans="2:6" x14ac:dyDescent="0.3">
      <c r="B29" s="41">
        <v>8</v>
      </c>
      <c r="C29" s="41" t="s">
        <v>183</v>
      </c>
      <c r="D29" s="41" t="s">
        <v>1562</v>
      </c>
      <c r="E29" s="41">
        <v>2</v>
      </c>
      <c r="F29" s="41" t="s">
        <v>1575</v>
      </c>
    </row>
    <row r="30" spans="2:6" x14ac:dyDescent="0.3">
      <c r="B30" s="41">
        <v>9</v>
      </c>
      <c r="C30" s="41" t="s">
        <v>183</v>
      </c>
      <c r="D30" s="41" t="s">
        <v>1562</v>
      </c>
      <c r="E30" s="41">
        <v>3</v>
      </c>
      <c r="F30" s="41" t="s">
        <v>1576</v>
      </c>
    </row>
    <row r="31" spans="2:6" x14ac:dyDescent="0.3">
      <c r="B31" s="41">
        <v>10</v>
      </c>
      <c r="C31" s="41" t="s">
        <v>183</v>
      </c>
      <c r="D31" s="41" t="s">
        <v>1563</v>
      </c>
      <c r="E31" s="41">
        <v>1</v>
      </c>
      <c r="F31" s="41" t="s">
        <v>1577</v>
      </c>
    </row>
    <row r="32" spans="2:6" x14ac:dyDescent="0.3">
      <c r="B32" s="41">
        <v>11</v>
      </c>
      <c r="C32" s="41" t="s">
        <v>183</v>
      </c>
      <c r="D32" s="41" t="s">
        <v>1563</v>
      </c>
      <c r="E32" s="41">
        <v>2</v>
      </c>
      <c r="F32" s="41" t="s">
        <v>1578</v>
      </c>
    </row>
    <row r="33" spans="2:6" x14ac:dyDescent="0.3">
      <c r="B33" s="41">
        <v>12</v>
      </c>
      <c r="C33" s="41" t="s">
        <v>183</v>
      </c>
      <c r="D33" s="41" t="s">
        <v>1563</v>
      </c>
      <c r="E33" s="41">
        <v>3</v>
      </c>
      <c r="F33" s="41" t="s">
        <v>1579</v>
      </c>
    </row>
    <row r="34" spans="2:6" x14ac:dyDescent="0.3">
      <c r="B34" s="41">
        <v>13</v>
      </c>
      <c r="C34" s="41" t="s">
        <v>183</v>
      </c>
      <c r="D34" s="41" t="s">
        <v>1564</v>
      </c>
      <c r="E34" s="41">
        <v>1</v>
      </c>
      <c r="F34" s="41" t="s">
        <v>1580</v>
      </c>
    </row>
    <row r="35" spans="2:6" x14ac:dyDescent="0.3">
      <c r="B35" s="41">
        <v>14</v>
      </c>
      <c r="C35" s="41" t="s">
        <v>183</v>
      </c>
      <c r="D35" s="41" t="s">
        <v>1564</v>
      </c>
      <c r="E35" s="41">
        <v>2</v>
      </c>
      <c r="F35" s="41" t="s">
        <v>1581</v>
      </c>
    </row>
    <row r="36" spans="2:6" x14ac:dyDescent="0.3">
      <c r="B36" s="41">
        <v>15</v>
      </c>
      <c r="C36" s="41" t="s">
        <v>183</v>
      </c>
      <c r="D36" s="41" t="s">
        <v>1564</v>
      </c>
      <c r="E36" s="41">
        <v>3</v>
      </c>
      <c r="F36" s="41" t="s">
        <v>1582</v>
      </c>
    </row>
    <row r="37" spans="2:6" x14ac:dyDescent="0.3">
      <c r="B37" s="41">
        <v>16</v>
      </c>
      <c r="C37" s="41" t="s">
        <v>183</v>
      </c>
      <c r="D37" s="41" t="s">
        <v>1565</v>
      </c>
      <c r="E37" s="41">
        <v>1</v>
      </c>
      <c r="F37" s="41" t="s">
        <v>1583</v>
      </c>
    </row>
    <row r="38" spans="2:6" x14ac:dyDescent="0.3">
      <c r="B38" s="41">
        <v>17</v>
      </c>
      <c r="C38" s="41" t="s">
        <v>183</v>
      </c>
      <c r="D38" s="41" t="s">
        <v>1565</v>
      </c>
      <c r="E38" s="41">
        <v>2</v>
      </c>
      <c r="F38" s="41" t="s">
        <v>1584</v>
      </c>
    </row>
    <row r="39" spans="2:6" x14ac:dyDescent="0.3">
      <c r="B39" s="41">
        <v>18</v>
      </c>
      <c r="C39" s="41" t="s">
        <v>183</v>
      </c>
      <c r="D39" s="41" t="s">
        <v>1565</v>
      </c>
      <c r="E39" s="41">
        <v>3</v>
      </c>
      <c r="F39" s="41" t="s">
        <v>1585</v>
      </c>
    </row>
    <row r="40" spans="2:6" x14ac:dyDescent="0.3">
      <c r="B40" s="41">
        <v>19</v>
      </c>
      <c r="C40" s="41" t="s">
        <v>183</v>
      </c>
      <c r="D40" s="41" t="s">
        <v>1565</v>
      </c>
      <c r="E40" s="41">
        <v>4</v>
      </c>
      <c r="F40" s="41" t="s">
        <v>1586</v>
      </c>
    </row>
    <row r="41" spans="2:6" x14ac:dyDescent="0.3">
      <c r="B41" s="41">
        <v>20</v>
      </c>
      <c r="C41" s="41" t="s">
        <v>183</v>
      </c>
      <c r="D41" s="41" t="s">
        <v>1565</v>
      </c>
      <c r="E41" s="41">
        <v>5</v>
      </c>
      <c r="F41" s="41" t="s">
        <v>1587</v>
      </c>
    </row>
    <row r="42" spans="2:6" x14ac:dyDescent="0.3">
      <c r="B42" s="41">
        <v>21</v>
      </c>
      <c r="C42" s="41" t="s">
        <v>183</v>
      </c>
      <c r="D42" s="41" t="s">
        <v>1566</v>
      </c>
      <c r="E42" s="41">
        <v>1</v>
      </c>
      <c r="F42" s="41" t="s">
        <v>1588</v>
      </c>
    </row>
    <row r="43" spans="2:6" x14ac:dyDescent="0.3">
      <c r="B43" s="41">
        <v>22</v>
      </c>
      <c r="C43" s="41" t="s">
        <v>183</v>
      </c>
      <c r="D43" s="41" t="s">
        <v>1566</v>
      </c>
      <c r="E43" s="41">
        <v>2</v>
      </c>
      <c r="F43" s="41" t="s">
        <v>1589</v>
      </c>
    </row>
    <row r="44" spans="2:6" x14ac:dyDescent="0.3">
      <c r="B44" s="41">
        <v>23</v>
      </c>
      <c r="C44" s="41" t="s">
        <v>183</v>
      </c>
      <c r="D44" s="41" t="s">
        <v>1566</v>
      </c>
      <c r="E44" s="41">
        <v>3</v>
      </c>
      <c r="F44" s="41" t="s">
        <v>1590</v>
      </c>
    </row>
    <row r="45" spans="2:6" x14ac:dyDescent="0.3">
      <c r="B45" s="41">
        <v>24</v>
      </c>
      <c r="C45" s="41" t="s">
        <v>183</v>
      </c>
      <c r="D45" s="41" t="s">
        <v>1567</v>
      </c>
      <c r="E45" s="41">
        <v>1</v>
      </c>
      <c r="F45" s="41" t="s">
        <v>1591</v>
      </c>
    </row>
    <row r="46" spans="2:6" x14ac:dyDescent="0.3">
      <c r="B46" s="41">
        <v>25</v>
      </c>
      <c r="C46" s="41" t="s">
        <v>183</v>
      </c>
      <c r="D46" s="41" t="s">
        <v>1567</v>
      </c>
      <c r="E46" s="41">
        <v>2</v>
      </c>
      <c r="F46" s="41" t="s">
        <v>1592</v>
      </c>
    </row>
    <row r="47" spans="2:6" x14ac:dyDescent="0.3">
      <c r="B47" s="41">
        <v>26</v>
      </c>
      <c r="C47" s="41" t="s">
        <v>183</v>
      </c>
      <c r="D47" s="41" t="s">
        <v>1567</v>
      </c>
      <c r="E47" s="41">
        <v>3</v>
      </c>
      <c r="F47" s="41" t="s">
        <v>1593</v>
      </c>
    </row>
  </sheetData>
  <mergeCells count="1">
    <mergeCell ref="B2:F2"/>
  </mergeCells>
  <pageMargins left="0.25" right="0.25" top="0.75" bottom="0.75" header="0.3" footer="0.3"/>
  <pageSetup paperSize="9" scale="86" fitToHeight="0" orientation="landscape" horizontalDpi="300" verticalDpi="300" r:id="rId1"/>
  <headerFooter>
    <oddFooter>&amp;LPulse Oximetry allocation&amp;C&amp;A&amp;R&amp;P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2" tint="-0.249977111117893"/>
    <pageSetUpPr fitToPage="1"/>
  </sheetPr>
  <dimension ref="B2:F27"/>
  <sheetViews>
    <sheetView showGridLines="0" view="pageLayout" topLeftCell="C1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1594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1595</v>
      </c>
      <c r="C4" s="22">
        <v>12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4</v>
      </c>
      <c r="E8" s="38" t="s">
        <v>1596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1597</v>
      </c>
      <c r="D11" s="40">
        <v>4</v>
      </c>
    </row>
    <row r="12" spans="2:6" x14ac:dyDescent="0.3">
      <c r="B12" s="39">
        <v>2</v>
      </c>
      <c r="C12" s="39" t="s">
        <v>1598</v>
      </c>
      <c r="D12" s="40">
        <v>5</v>
      </c>
    </row>
    <row r="13" spans="2:6" x14ac:dyDescent="0.3">
      <c r="B13" s="17">
        <v>3</v>
      </c>
      <c r="C13" s="17" t="s">
        <v>1599</v>
      </c>
      <c r="D13" s="13">
        <v>3</v>
      </c>
    </row>
    <row r="14" spans="2:6" x14ac:dyDescent="0.3">
      <c r="C14" s="151" t="s">
        <v>150</v>
      </c>
      <c r="D14" s="98">
        <f>SUM(D11:D13)</f>
        <v>12</v>
      </c>
    </row>
    <row r="16" spans="2:6" x14ac:dyDescent="0.3">
      <c r="B16" s="7" t="s">
        <v>197</v>
      </c>
      <c r="C16" s="7" t="s">
        <v>151</v>
      </c>
      <c r="D16" s="7" t="s">
        <v>215</v>
      </c>
      <c r="E16" s="7" t="s">
        <v>216</v>
      </c>
      <c r="F16" s="7" t="s">
        <v>217</v>
      </c>
    </row>
    <row r="17" spans="2:6" x14ac:dyDescent="0.3">
      <c r="B17" s="41">
        <v>1</v>
      </c>
      <c r="C17" s="41" t="s">
        <v>184</v>
      </c>
      <c r="D17" s="41" t="s">
        <v>1597</v>
      </c>
      <c r="E17" s="41">
        <v>1</v>
      </c>
      <c r="F17" s="41" t="s">
        <v>1600</v>
      </c>
    </row>
    <row r="18" spans="2:6" x14ac:dyDescent="0.3">
      <c r="B18" s="41">
        <v>2</v>
      </c>
      <c r="C18" s="41" t="s">
        <v>184</v>
      </c>
      <c r="D18" s="41" t="s">
        <v>1597</v>
      </c>
      <c r="E18" s="41">
        <v>2</v>
      </c>
      <c r="F18" s="41" t="s">
        <v>1601</v>
      </c>
    </row>
    <row r="19" spans="2:6" x14ac:dyDescent="0.3">
      <c r="B19" s="41">
        <v>3</v>
      </c>
      <c r="C19" s="41" t="s">
        <v>184</v>
      </c>
      <c r="D19" s="41" t="s">
        <v>1597</v>
      </c>
      <c r="E19" s="41">
        <v>3</v>
      </c>
      <c r="F19" s="41" t="s">
        <v>1602</v>
      </c>
    </row>
    <row r="20" spans="2:6" x14ac:dyDescent="0.3">
      <c r="B20" s="41">
        <v>4</v>
      </c>
      <c r="C20" s="41" t="s">
        <v>184</v>
      </c>
      <c r="D20" s="41" t="s">
        <v>1597</v>
      </c>
      <c r="E20" s="41">
        <v>4</v>
      </c>
      <c r="F20" s="41" t="s">
        <v>1603</v>
      </c>
    </row>
    <row r="21" spans="2:6" x14ac:dyDescent="0.3">
      <c r="B21" s="41">
        <v>5</v>
      </c>
      <c r="C21" s="41" t="s">
        <v>184</v>
      </c>
      <c r="D21" s="41" t="s">
        <v>1598</v>
      </c>
      <c r="E21" s="41">
        <v>1</v>
      </c>
      <c r="F21" s="41" t="s">
        <v>1604</v>
      </c>
    </row>
    <row r="22" spans="2:6" x14ac:dyDescent="0.3">
      <c r="B22" s="41">
        <v>6</v>
      </c>
      <c r="C22" s="41" t="s">
        <v>184</v>
      </c>
      <c r="D22" s="41" t="s">
        <v>1598</v>
      </c>
      <c r="E22" s="41">
        <v>2</v>
      </c>
      <c r="F22" s="41" t="s">
        <v>1605</v>
      </c>
    </row>
    <row r="23" spans="2:6" x14ac:dyDescent="0.3">
      <c r="B23" s="41">
        <v>7</v>
      </c>
      <c r="C23" s="41" t="s">
        <v>184</v>
      </c>
      <c r="D23" s="41" t="s">
        <v>1598</v>
      </c>
      <c r="E23" s="41">
        <v>3</v>
      </c>
      <c r="F23" s="41" t="s">
        <v>1606</v>
      </c>
    </row>
    <row r="24" spans="2:6" x14ac:dyDescent="0.3">
      <c r="B24" s="39">
        <v>8</v>
      </c>
      <c r="C24" s="39" t="s">
        <v>184</v>
      </c>
      <c r="D24" s="39" t="s">
        <v>1598</v>
      </c>
      <c r="E24" s="39">
        <v>4</v>
      </c>
      <c r="F24" s="39" t="s">
        <v>1607</v>
      </c>
    </row>
    <row r="25" spans="2:6" x14ac:dyDescent="0.3">
      <c r="B25" s="17">
        <v>10</v>
      </c>
      <c r="C25" s="17" t="s">
        <v>184</v>
      </c>
      <c r="D25" s="17" t="s">
        <v>1599</v>
      </c>
      <c r="E25" s="17">
        <v>1</v>
      </c>
      <c r="F25" s="17" t="s">
        <v>1608</v>
      </c>
    </row>
    <row r="26" spans="2:6" x14ac:dyDescent="0.3">
      <c r="B26" s="17">
        <v>11</v>
      </c>
      <c r="C26" s="17" t="s">
        <v>184</v>
      </c>
      <c r="D26" s="17" t="s">
        <v>1599</v>
      </c>
      <c r="E26" s="17">
        <v>2</v>
      </c>
      <c r="F26" s="17" t="s">
        <v>1609</v>
      </c>
    </row>
    <row r="27" spans="2:6" x14ac:dyDescent="0.3">
      <c r="B27" s="17">
        <v>12</v>
      </c>
      <c r="C27" s="17" t="s">
        <v>184</v>
      </c>
      <c r="D27" s="17" t="s">
        <v>1599</v>
      </c>
      <c r="E27" s="17">
        <v>3</v>
      </c>
      <c r="F27" s="17" t="s">
        <v>1610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2" tint="-0.249977111117893"/>
    <pageSetUpPr fitToPage="1"/>
  </sheetPr>
  <dimension ref="B2:F40"/>
  <sheetViews>
    <sheetView showGridLines="0" view="pageLayout" zoomScaleNormal="90" workbookViewId="0">
      <selection activeCell="F1" sqref="F1:F1048576"/>
    </sheetView>
  </sheetViews>
  <sheetFormatPr defaultColWidth="7.5546875" defaultRowHeight="14.4" x14ac:dyDescent="0.3"/>
  <cols>
    <col min="1" max="1" width="2.6640625" customWidth="1"/>
    <col min="2" max="2" width="28.6640625" customWidth="1"/>
    <col min="3" max="3" width="22.44140625" customWidth="1"/>
    <col min="4" max="4" width="44.5546875" customWidth="1"/>
    <col min="5" max="5" width="11.44140625" customWidth="1"/>
    <col min="6" max="6" width="15.33203125" customWidth="1"/>
  </cols>
  <sheetData>
    <row r="2" spans="2:6" ht="23.25" customHeight="1" thickBot="1" x14ac:dyDescent="0.35">
      <c r="B2" s="245" t="s">
        <v>1611</v>
      </c>
      <c r="C2" s="245"/>
      <c r="D2" s="245"/>
      <c r="E2" s="245"/>
      <c r="F2" s="245"/>
    </row>
    <row r="3" spans="2:6" x14ac:dyDescent="0.3">
      <c r="B3" s="14"/>
      <c r="C3" s="197"/>
      <c r="D3" s="14"/>
      <c r="E3" s="14"/>
      <c r="F3" s="14"/>
    </row>
    <row r="4" spans="2:6" ht="17.25" customHeight="1" x14ac:dyDescent="0.3">
      <c r="B4" s="225" t="s">
        <v>1612</v>
      </c>
      <c r="C4" s="226">
        <v>22</v>
      </c>
    </row>
    <row r="5" spans="2:6" ht="15" customHeight="1" thickBot="1" x14ac:dyDescent="0.35">
      <c r="B5" s="227" t="s">
        <v>288</v>
      </c>
    </row>
    <row r="7" spans="2:6" x14ac:dyDescent="0.3">
      <c r="B7" s="228" t="s">
        <v>289</v>
      </c>
      <c r="C7" s="229">
        <v>5</v>
      </c>
    </row>
    <row r="8" spans="2:6" x14ac:dyDescent="0.3">
      <c r="B8" s="228" t="s">
        <v>147</v>
      </c>
      <c r="C8" s="229">
        <v>14</v>
      </c>
      <c r="E8" s="38"/>
    </row>
    <row r="10" spans="2:6" x14ac:dyDescent="0.3">
      <c r="B10" s="241" t="s">
        <v>197</v>
      </c>
      <c r="C10" s="241" t="s">
        <v>215</v>
      </c>
      <c r="D10" s="241" t="s">
        <v>290</v>
      </c>
    </row>
    <row r="11" spans="2:6" x14ac:dyDescent="0.3">
      <c r="B11" s="230">
        <v>1</v>
      </c>
      <c r="C11" s="231" t="s">
        <v>1613</v>
      </c>
      <c r="D11" s="230">
        <v>4</v>
      </c>
    </row>
    <row r="12" spans="2:6" x14ac:dyDescent="0.3">
      <c r="B12" s="230">
        <v>2</v>
      </c>
      <c r="C12" s="231" t="s">
        <v>1614</v>
      </c>
      <c r="D12" s="230">
        <v>3</v>
      </c>
    </row>
    <row r="13" spans="2:6" x14ac:dyDescent="0.3">
      <c r="B13" s="230">
        <v>3</v>
      </c>
      <c r="C13" s="231" t="s">
        <v>1615</v>
      </c>
      <c r="D13" s="230">
        <v>4</v>
      </c>
    </row>
    <row r="14" spans="2:6" x14ac:dyDescent="0.3">
      <c r="B14" s="230">
        <v>4</v>
      </c>
      <c r="C14" s="231" t="s">
        <v>213</v>
      </c>
      <c r="D14" s="230">
        <v>5</v>
      </c>
    </row>
    <row r="15" spans="2:6" x14ac:dyDescent="0.3">
      <c r="B15" s="230">
        <v>5</v>
      </c>
      <c r="C15" s="231" t="s">
        <v>1616</v>
      </c>
      <c r="D15" s="230">
        <v>3</v>
      </c>
    </row>
    <row r="16" spans="2:6" x14ac:dyDescent="0.3">
      <c r="B16" s="230">
        <v>6</v>
      </c>
      <c r="C16" s="231" t="s">
        <v>1617</v>
      </c>
      <c r="D16" s="230">
        <v>3</v>
      </c>
    </row>
    <row r="17" spans="2:6" x14ac:dyDescent="0.3">
      <c r="B17" s="233" t="s">
        <v>150</v>
      </c>
      <c r="C17" s="232"/>
      <c r="D17" s="233">
        <f>SUM(D11:D16)</f>
        <v>22</v>
      </c>
    </row>
    <row r="19" spans="2:6" x14ac:dyDescent="0.3">
      <c r="B19" s="241" t="s">
        <v>197</v>
      </c>
      <c r="C19" s="241" t="s">
        <v>151</v>
      </c>
      <c r="D19" s="241" t="s">
        <v>215</v>
      </c>
      <c r="E19" s="241" t="s">
        <v>216</v>
      </c>
      <c r="F19" s="241" t="s">
        <v>217</v>
      </c>
    </row>
    <row r="20" spans="2:6" x14ac:dyDescent="0.3">
      <c r="B20" s="230">
        <v>1</v>
      </c>
      <c r="C20" s="231" t="s">
        <v>185</v>
      </c>
      <c r="D20" s="231" t="s">
        <v>1613</v>
      </c>
      <c r="E20" s="230">
        <v>1</v>
      </c>
      <c r="F20" s="231" t="s">
        <v>1618</v>
      </c>
    </row>
    <row r="21" spans="2:6" x14ac:dyDescent="0.3">
      <c r="B21" s="230">
        <v>2</v>
      </c>
      <c r="C21" s="231" t="s">
        <v>185</v>
      </c>
      <c r="D21" s="231" t="s">
        <v>1613</v>
      </c>
      <c r="E21" s="230">
        <v>2</v>
      </c>
      <c r="F21" s="231" t="s">
        <v>1619</v>
      </c>
    </row>
    <row r="22" spans="2:6" x14ac:dyDescent="0.3">
      <c r="B22" s="230">
        <v>3</v>
      </c>
      <c r="C22" s="231" t="s">
        <v>185</v>
      </c>
      <c r="D22" s="231" t="s">
        <v>1613</v>
      </c>
      <c r="E22" s="230">
        <v>3</v>
      </c>
      <c r="F22" s="231" t="s">
        <v>1620</v>
      </c>
    </row>
    <row r="23" spans="2:6" x14ac:dyDescent="0.3">
      <c r="B23" s="230">
        <v>4</v>
      </c>
      <c r="C23" s="231" t="s">
        <v>185</v>
      </c>
      <c r="D23" s="231" t="s">
        <v>1613</v>
      </c>
      <c r="E23" s="230">
        <v>4</v>
      </c>
      <c r="F23" s="231" t="s">
        <v>1621</v>
      </c>
    </row>
    <row r="24" spans="2:6" x14ac:dyDescent="0.3">
      <c r="B24" s="230">
        <v>5</v>
      </c>
      <c r="C24" s="231" t="s">
        <v>185</v>
      </c>
      <c r="D24" s="231" t="s">
        <v>1614</v>
      </c>
      <c r="E24" s="230">
        <v>1</v>
      </c>
      <c r="F24" s="231" t="s">
        <v>1622</v>
      </c>
    </row>
    <row r="25" spans="2:6" x14ac:dyDescent="0.3">
      <c r="B25" s="230">
        <v>6</v>
      </c>
      <c r="C25" s="231" t="s">
        <v>185</v>
      </c>
      <c r="D25" s="231" t="s">
        <v>1614</v>
      </c>
      <c r="E25" s="230">
        <v>2</v>
      </c>
      <c r="F25" s="231" t="s">
        <v>1623</v>
      </c>
    </row>
    <row r="26" spans="2:6" x14ac:dyDescent="0.3">
      <c r="B26" s="230">
        <v>7</v>
      </c>
      <c r="C26" s="231" t="s">
        <v>185</v>
      </c>
      <c r="D26" s="231" t="s">
        <v>1614</v>
      </c>
      <c r="E26" s="230">
        <v>3</v>
      </c>
      <c r="F26" s="231" t="s">
        <v>1624</v>
      </c>
    </row>
    <row r="27" spans="2:6" x14ac:dyDescent="0.3">
      <c r="B27" s="230">
        <v>8</v>
      </c>
      <c r="C27" s="231" t="s">
        <v>185</v>
      </c>
      <c r="D27" s="231" t="s">
        <v>1615</v>
      </c>
      <c r="E27" s="230">
        <v>1</v>
      </c>
      <c r="F27" s="231" t="s">
        <v>1625</v>
      </c>
    </row>
    <row r="28" spans="2:6" x14ac:dyDescent="0.3">
      <c r="B28" s="230">
        <v>9</v>
      </c>
      <c r="C28" s="231" t="s">
        <v>185</v>
      </c>
      <c r="D28" s="231" t="s">
        <v>1615</v>
      </c>
      <c r="E28" s="230">
        <v>2</v>
      </c>
      <c r="F28" s="231" t="s">
        <v>1626</v>
      </c>
    </row>
    <row r="29" spans="2:6" x14ac:dyDescent="0.3">
      <c r="B29" s="230">
        <v>10</v>
      </c>
      <c r="C29" s="231" t="s">
        <v>185</v>
      </c>
      <c r="D29" s="231" t="s">
        <v>1615</v>
      </c>
      <c r="E29" s="230">
        <v>3</v>
      </c>
      <c r="F29" s="231" t="s">
        <v>1627</v>
      </c>
    </row>
    <row r="30" spans="2:6" x14ac:dyDescent="0.3">
      <c r="B30" s="230">
        <v>11</v>
      </c>
      <c r="C30" s="231" t="s">
        <v>185</v>
      </c>
      <c r="D30" s="231" t="s">
        <v>1615</v>
      </c>
      <c r="E30" s="230">
        <v>4</v>
      </c>
      <c r="F30" s="231" t="s">
        <v>1628</v>
      </c>
    </row>
    <row r="31" spans="2:6" x14ac:dyDescent="0.3">
      <c r="B31" s="230">
        <v>12</v>
      </c>
      <c r="C31" s="231" t="s">
        <v>185</v>
      </c>
      <c r="D31" s="231" t="s">
        <v>213</v>
      </c>
      <c r="E31" s="230">
        <v>1</v>
      </c>
      <c r="F31" s="231" t="s">
        <v>280</v>
      </c>
    </row>
    <row r="32" spans="2:6" x14ac:dyDescent="0.3">
      <c r="B32" s="230">
        <v>13</v>
      </c>
      <c r="C32" s="231" t="s">
        <v>185</v>
      </c>
      <c r="D32" s="231" t="s">
        <v>213</v>
      </c>
      <c r="E32" s="230">
        <v>2</v>
      </c>
      <c r="F32" s="231" t="s">
        <v>281</v>
      </c>
    </row>
    <row r="33" spans="2:6" x14ac:dyDescent="0.3">
      <c r="B33" s="230">
        <v>14</v>
      </c>
      <c r="C33" s="231" t="s">
        <v>185</v>
      </c>
      <c r="D33" s="231" t="s">
        <v>213</v>
      </c>
      <c r="E33" s="230">
        <v>3</v>
      </c>
      <c r="F33" s="231" t="s">
        <v>282</v>
      </c>
    </row>
    <row r="34" spans="2:6" x14ac:dyDescent="0.3">
      <c r="B34" s="230">
        <v>15</v>
      </c>
      <c r="C34" s="231" t="s">
        <v>185</v>
      </c>
      <c r="D34" s="231" t="s">
        <v>213</v>
      </c>
      <c r="E34" s="230">
        <v>4</v>
      </c>
      <c r="F34" s="231" t="s">
        <v>283</v>
      </c>
    </row>
    <row r="35" spans="2:6" x14ac:dyDescent="0.3">
      <c r="B35" s="230">
        <v>16</v>
      </c>
      <c r="C35" s="231" t="s">
        <v>185</v>
      </c>
      <c r="D35" s="231" t="s">
        <v>213</v>
      </c>
      <c r="E35" s="230">
        <v>5</v>
      </c>
      <c r="F35" s="231" t="s">
        <v>284</v>
      </c>
    </row>
    <row r="36" spans="2:6" x14ac:dyDescent="0.3">
      <c r="B36" s="230">
        <v>17</v>
      </c>
      <c r="C36" s="231" t="s">
        <v>185</v>
      </c>
      <c r="D36" s="231" t="s">
        <v>1616</v>
      </c>
      <c r="E36" s="230">
        <v>1</v>
      </c>
      <c r="F36" s="231" t="s">
        <v>1629</v>
      </c>
    </row>
    <row r="37" spans="2:6" x14ac:dyDescent="0.3">
      <c r="B37" s="230">
        <v>18</v>
      </c>
      <c r="C37" s="231" t="s">
        <v>185</v>
      </c>
      <c r="D37" s="231" t="s">
        <v>1616</v>
      </c>
      <c r="E37" s="230">
        <v>2</v>
      </c>
      <c r="F37" s="231" t="s">
        <v>1630</v>
      </c>
    </row>
    <row r="38" spans="2:6" x14ac:dyDescent="0.3">
      <c r="B38" s="230">
        <v>20</v>
      </c>
      <c r="C38" s="231" t="s">
        <v>185</v>
      </c>
      <c r="D38" s="231" t="s">
        <v>1617</v>
      </c>
      <c r="E38" s="230">
        <v>1</v>
      </c>
      <c r="F38" s="231" t="s">
        <v>1631</v>
      </c>
    </row>
    <row r="39" spans="2:6" x14ac:dyDescent="0.3">
      <c r="B39" s="230">
        <v>21</v>
      </c>
      <c r="C39" s="231" t="s">
        <v>185</v>
      </c>
      <c r="D39" s="231" t="s">
        <v>1617</v>
      </c>
      <c r="E39" s="230">
        <v>2</v>
      </c>
      <c r="F39" s="231" t="s">
        <v>1632</v>
      </c>
    </row>
    <row r="40" spans="2:6" x14ac:dyDescent="0.3">
      <c r="B40" s="230">
        <v>22</v>
      </c>
      <c r="C40" s="231" t="s">
        <v>185</v>
      </c>
      <c r="D40" s="231" t="s">
        <v>1617</v>
      </c>
      <c r="E40" s="230">
        <v>3</v>
      </c>
      <c r="F40" s="231" t="s">
        <v>1633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2" tint="-0.249977111117893"/>
    <pageSetUpPr fitToPage="1"/>
  </sheetPr>
  <dimension ref="B2:F31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1634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1635</v>
      </c>
      <c r="C4" s="22">
        <v>14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9</v>
      </c>
      <c r="E8" s="38" t="s">
        <v>1636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1637</v>
      </c>
      <c r="D11" s="40">
        <v>3</v>
      </c>
    </row>
    <row r="12" spans="2:6" x14ac:dyDescent="0.3">
      <c r="B12" s="39">
        <v>2</v>
      </c>
      <c r="C12" s="39" t="s">
        <v>1638</v>
      </c>
      <c r="D12" s="40">
        <v>3</v>
      </c>
    </row>
    <row r="13" spans="2:6" x14ac:dyDescent="0.3">
      <c r="B13" s="39">
        <v>3</v>
      </c>
      <c r="C13" s="39" t="s">
        <v>1639</v>
      </c>
      <c r="D13" s="40">
        <v>5</v>
      </c>
    </row>
    <row r="14" spans="2:6" x14ac:dyDescent="0.3">
      <c r="B14" s="41">
        <v>4</v>
      </c>
      <c r="C14" s="39" t="s">
        <v>1640</v>
      </c>
      <c r="D14" s="40">
        <v>3</v>
      </c>
    </row>
    <row r="15" spans="2:6" x14ac:dyDescent="0.3">
      <c r="C15" s="42" t="s">
        <v>150</v>
      </c>
      <c r="D15" s="43">
        <f>SUM(D11:D14)</f>
        <v>14</v>
      </c>
    </row>
    <row r="17" spans="2:6" x14ac:dyDescent="0.3">
      <c r="B17" s="7" t="s">
        <v>197</v>
      </c>
      <c r="C17" s="7" t="s">
        <v>151</v>
      </c>
      <c r="D17" s="7" t="s">
        <v>215</v>
      </c>
      <c r="E17" s="7" t="s">
        <v>216</v>
      </c>
      <c r="F17" s="7" t="s">
        <v>217</v>
      </c>
    </row>
    <row r="18" spans="2:6" x14ac:dyDescent="0.3">
      <c r="B18" s="41">
        <v>1</v>
      </c>
      <c r="C18" s="41" t="s">
        <v>186</v>
      </c>
      <c r="D18" s="41" t="s">
        <v>1637</v>
      </c>
      <c r="E18" s="41">
        <v>1</v>
      </c>
      <c r="F18" s="41" t="s">
        <v>1641</v>
      </c>
    </row>
    <row r="19" spans="2:6" x14ac:dyDescent="0.3">
      <c r="B19" s="41">
        <v>2</v>
      </c>
      <c r="C19" s="41" t="s">
        <v>186</v>
      </c>
      <c r="D19" s="41" t="s">
        <v>1637</v>
      </c>
      <c r="E19" s="41">
        <v>2</v>
      </c>
      <c r="F19" s="41" t="s">
        <v>1642</v>
      </c>
    </row>
    <row r="20" spans="2:6" x14ac:dyDescent="0.3">
      <c r="B20" s="41">
        <v>3</v>
      </c>
      <c r="C20" s="41" t="s">
        <v>186</v>
      </c>
      <c r="D20" s="41" t="s">
        <v>1637</v>
      </c>
      <c r="E20" s="41">
        <v>3</v>
      </c>
      <c r="F20" s="41" t="s">
        <v>1643</v>
      </c>
    </row>
    <row r="21" spans="2:6" x14ac:dyDescent="0.3">
      <c r="B21" s="41">
        <v>4</v>
      </c>
      <c r="C21" s="41" t="s">
        <v>186</v>
      </c>
      <c r="D21" s="41" t="s">
        <v>1638</v>
      </c>
      <c r="E21" s="41">
        <v>1</v>
      </c>
      <c r="F21" s="41" t="s">
        <v>1644</v>
      </c>
    </row>
    <row r="22" spans="2:6" x14ac:dyDescent="0.3">
      <c r="B22" s="41">
        <v>5</v>
      </c>
      <c r="C22" s="41" t="s">
        <v>186</v>
      </c>
      <c r="D22" s="41" t="s">
        <v>1638</v>
      </c>
      <c r="E22" s="41">
        <v>2</v>
      </c>
      <c r="F22" s="41" t="s">
        <v>1645</v>
      </c>
    </row>
    <row r="23" spans="2:6" x14ac:dyDescent="0.3">
      <c r="B23" s="41">
        <v>6</v>
      </c>
      <c r="C23" s="41" t="s">
        <v>186</v>
      </c>
      <c r="D23" s="41" t="s">
        <v>1638</v>
      </c>
      <c r="E23" s="41">
        <v>3</v>
      </c>
      <c r="F23" s="41" t="s">
        <v>1646</v>
      </c>
    </row>
    <row r="24" spans="2:6" x14ac:dyDescent="0.3">
      <c r="B24" s="41">
        <v>7</v>
      </c>
      <c r="C24" s="41" t="s">
        <v>186</v>
      </c>
      <c r="D24" s="41" t="s">
        <v>1639</v>
      </c>
      <c r="E24" s="41">
        <v>1</v>
      </c>
      <c r="F24" s="41" t="s">
        <v>1647</v>
      </c>
    </row>
    <row r="25" spans="2:6" x14ac:dyDescent="0.3">
      <c r="B25" s="41">
        <v>8</v>
      </c>
      <c r="C25" s="41" t="s">
        <v>186</v>
      </c>
      <c r="D25" s="41" t="s">
        <v>1639</v>
      </c>
      <c r="E25" s="41">
        <v>2</v>
      </c>
      <c r="F25" s="41" t="s">
        <v>1648</v>
      </c>
    </row>
    <row r="26" spans="2:6" x14ac:dyDescent="0.3">
      <c r="B26" s="41">
        <v>9</v>
      </c>
      <c r="C26" s="41" t="s">
        <v>186</v>
      </c>
      <c r="D26" s="41" t="s">
        <v>1639</v>
      </c>
      <c r="E26" s="41">
        <v>3</v>
      </c>
      <c r="F26" s="41" t="s">
        <v>1649</v>
      </c>
    </row>
    <row r="27" spans="2:6" x14ac:dyDescent="0.3">
      <c r="B27" s="41">
        <v>10</v>
      </c>
      <c r="C27" s="41" t="s">
        <v>186</v>
      </c>
      <c r="D27" s="41" t="s">
        <v>1639</v>
      </c>
      <c r="E27" s="41">
        <v>4</v>
      </c>
      <c r="F27" s="41" t="s">
        <v>1650</v>
      </c>
    </row>
    <row r="28" spans="2:6" x14ac:dyDescent="0.3">
      <c r="B28" s="41">
        <v>11</v>
      </c>
      <c r="C28" s="41" t="s">
        <v>186</v>
      </c>
      <c r="D28" s="41" t="s">
        <v>1639</v>
      </c>
      <c r="E28" s="41">
        <v>5</v>
      </c>
      <c r="F28" s="41" t="s">
        <v>1651</v>
      </c>
    </row>
    <row r="29" spans="2:6" x14ac:dyDescent="0.3">
      <c r="B29" s="41">
        <v>12</v>
      </c>
      <c r="C29" s="41" t="s">
        <v>186</v>
      </c>
      <c r="D29" s="41" t="s">
        <v>1640</v>
      </c>
      <c r="E29" s="41">
        <v>1</v>
      </c>
      <c r="F29" s="41" t="s">
        <v>1652</v>
      </c>
    </row>
    <row r="30" spans="2:6" x14ac:dyDescent="0.3">
      <c r="B30" s="41">
        <v>13</v>
      </c>
      <c r="C30" s="41" t="s">
        <v>186</v>
      </c>
      <c r="D30" s="41" t="s">
        <v>1640</v>
      </c>
      <c r="E30" s="41">
        <v>2</v>
      </c>
      <c r="F30" s="41" t="s">
        <v>1653</v>
      </c>
    </row>
    <row r="31" spans="2:6" x14ac:dyDescent="0.3">
      <c r="B31" s="41">
        <v>14</v>
      </c>
      <c r="C31" s="41" t="s">
        <v>186</v>
      </c>
      <c r="D31" s="41" t="s">
        <v>1640</v>
      </c>
      <c r="E31" s="41">
        <v>3</v>
      </c>
      <c r="F31" s="41" t="s">
        <v>1654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2" tint="-0.249977111117893"/>
    <pageSetUpPr fitToPage="1"/>
  </sheetPr>
  <dimension ref="B2:F55"/>
  <sheetViews>
    <sheetView showGridLines="0" view="pageLayout" topLeftCell="A25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1655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1656</v>
      </c>
      <c r="C4" s="22">
        <v>32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27</v>
      </c>
      <c r="E8" s="38" t="s">
        <v>1657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1658</v>
      </c>
      <c r="D11" s="40">
        <v>3</v>
      </c>
    </row>
    <row r="12" spans="2:6" x14ac:dyDescent="0.3">
      <c r="B12" s="39">
        <v>2</v>
      </c>
      <c r="C12" s="39" t="s">
        <v>1659</v>
      </c>
      <c r="D12" s="40">
        <v>3</v>
      </c>
    </row>
    <row r="13" spans="2:6" x14ac:dyDescent="0.3">
      <c r="B13" s="39">
        <v>3</v>
      </c>
      <c r="C13" s="39" t="s">
        <v>1660</v>
      </c>
      <c r="D13" s="40">
        <v>3</v>
      </c>
    </row>
    <row r="14" spans="2:6" x14ac:dyDescent="0.3">
      <c r="B14" s="39">
        <v>4</v>
      </c>
      <c r="C14" s="39" t="s">
        <v>1661</v>
      </c>
      <c r="D14" s="40">
        <v>3</v>
      </c>
    </row>
    <row r="15" spans="2:6" x14ac:dyDescent="0.3">
      <c r="B15" s="39">
        <v>5</v>
      </c>
      <c r="C15" s="39" t="s">
        <v>1662</v>
      </c>
      <c r="D15" s="40">
        <v>3</v>
      </c>
    </row>
    <row r="16" spans="2:6" x14ac:dyDescent="0.3">
      <c r="B16" s="39">
        <v>6</v>
      </c>
      <c r="C16" s="39" t="s">
        <v>1663</v>
      </c>
      <c r="D16" s="40">
        <v>5</v>
      </c>
    </row>
    <row r="17" spans="2:6" x14ac:dyDescent="0.3">
      <c r="B17" s="39">
        <v>7</v>
      </c>
      <c r="C17" s="39" t="s">
        <v>1664</v>
      </c>
      <c r="D17" s="40">
        <v>3</v>
      </c>
    </row>
    <row r="18" spans="2:6" x14ac:dyDescent="0.3">
      <c r="B18" s="39">
        <v>8</v>
      </c>
      <c r="C18" s="39" t="s">
        <v>1665</v>
      </c>
      <c r="D18" s="40">
        <v>3</v>
      </c>
    </row>
    <row r="19" spans="2:6" x14ac:dyDescent="0.3">
      <c r="B19" s="39">
        <v>9</v>
      </c>
      <c r="C19" s="39" t="s">
        <v>1666</v>
      </c>
      <c r="D19" s="40">
        <v>3</v>
      </c>
    </row>
    <row r="20" spans="2:6" x14ac:dyDescent="0.3">
      <c r="B20" s="41">
        <v>10</v>
      </c>
      <c r="C20" s="39" t="s">
        <v>1667</v>
      </c>
      <c r="D20" s="40">
        <v>3</v>
      </c>
    </row>
    <row r="21" spans="2:6" x14ac:dyDescent="0.3">
      <c r="C21" s="42" t="s">
        <v>150</v>
      </c>
      <c r="D21" s="43">
        <f>SUM(D11:D20)</f>
        <v>32</v>
      </c>
    </row>
    <row r="23" spans="2:6" x14ac:dyDescent="0.3">
      <c r="B23" s="7" t="s">
        <v>197</v>
      </c>
      <c r="C23" s="7" t="s">
        <v>151</v>
      </c>
      <c r="D23" s="7" t="s">
        <v>215</v>
      </c>
      <c r="E23" s="7" t="s">
        <v>216</v>
      </c>
      <c r="F23" s="7" t="s">
        <v>217</v>
      </c>
    </row>
    <row r="24" spans="2:6" x14ac:dyDescent="0.3">
      <c r="B24" s="41">
        <v>1</v>
      </c>
      <c r="C24" s="41" t="s">
        <v>187</v>
      </c>
      <c r="D24" s="41" t="s">
        <v>1658</v>
      </c>
      <c r="E24" s="41">
        <v>1</v>
      </c>
      <c r="F24" s="41" t="s">
        <v>1668</v>
      </c>
    </row>
    <row r="25" spans="2:6" x14ac:dyDescent="0.3">
      <c r="B25" s="41">
        <v>2</v>
      </c>
      <c r="C25" s="41" t="s">
        <v>187</v>
      </c>
      <c r="D25" s="41" t="s">
        <v>1658</v>
      </c>
      <c r="E25" s="41">
        <v>2</v>
      </c>
      <c r="F25" s="41" t="s">
        <v>1669</v>
      </c>
    </row>
    <row r="26" spans="2:6" x14ac:dyDescent="0.3">
      <c r="B26" s="41">
        <v>3</v>
      </c>
      <c r="C26" s="41" t="s">
        <v>187</v>
      </c>
      <c r="D26" s="41" t="s">
        <v>1658</v>
      </c>
      <c r="E26" s="41">
        <v>3</v>
      </c>
      <c r="F26" s="41" t="s">
        <v>1670</v>
      </c>
    </row>
    <row r="27" spans="2:6" x14ac:dyDescent="0.3">
      <c r="B27" s="41">
        <v>4</v>
      </c>
      <c r="C27" s="41" t="s">
        <v>187</v>
      </c>
      <c r="D27" s="41" t="s">
        <v>1659</v>
      </c>
      <c r="E27" s="41">
        <v>1</v>
      </c>
      <c r="F27" s="41" t="s">
        <v>1671</v>
      </c>
    </row>
    <row r="28" spans="2:6" x14ac:dyDescent="0.3">
      <c r="B28" s="41">
        <v>5</v>
      </c>
      <c r="C28" s="41" t="s">
        <v>187</v>
      </c>
      <c r="D28" s="41" t="s">
        <v>1659</v>
      </c>
      <c r="E28" s="41">
        <v>2</v>
      </c>
      <c r="F28" s="41" t="s">
        <v>1672</v>
      </c>
    </row>
    <row r="29" spans="2:6" x14ac:dyDescent="0.3">
      <c r="B29" s="41">
        <v>6</v>
      </c>
      <c r="C29" s="41" t="s">
        <v>187</v>
      </c>
      <c r="D29" s="41" t="s">
        <v>1659</v>
      </c>
      <c r="E29" s="41">
        <v>3</v>
      </c>
      <c r="F29" s="41" t="s">
        <v>1673</v>
      </c>
    </row>
    <row r="30" spans="2:6" x14ac:dyDescent="0.3">
      <c r="B30" s="41">
        <v>7</v>
      </c>
      <c r="C30" s="41" t="s">
        <v>187</v>
      </c>
      <c r="D30" s="41" t="s">
        <v>1660</v>
      </c>
      <c r="E30" s="41">
        <v>1</v>
      </c>
      <c r="F30" s="41" t="s">
        <v>1674</v>
      </c>
    </row>
    <row r="31" spans="2:6" x14ac:dyDescent="0.3">
      <c r="B31" s="41">
        <v>8</v>
      </c>
      <c r="C31" s="41" t="s">
        <v>187</v>
      </c>
      <c r="D31" s="41" t="s">
        <v>1660</v>
      </c>
      <c r="E31" s="41">
        <v>2</v>
      </c>
      <c r="F31" s="41" t="s">
        <v>1675</v>
      </c>
    </row>
    <row r="32" spans="2:6" x14ac:dyDescent="0.3">
      <c r="B32" s="41">
        <v>9</v>
      </c>
      <c r="C32" s="41" t="s">
        <v>187</v>
      </c>
      <c r="D32" s="41" t="s">
        <v>1660</v>
      </c>
      <c r="E32" s="41">
        <v>3</v>
      </c>
      <c r="F32" s="41" t="s">
        <v>1676</v>
      </c>
    </row>
    <row r="33" spans="2:6" x14ac:dyDescent="0.3">
      <c r="B33" s="41">
        <v>10</v>
      </c>
      <c r="C33" s="41" t="s">
        <v>187</v>
      </c>
      <c r="D33" s="41" t="s">
        <v>1661</v>
      </c>
      <c r="E33" s="41">
        <v>1</v>
      </c>
      <c r="F33" s="41" t="s">
        <v>1677</v>
      </c>
    </row>
    <row r="34" spans="2:6" x14ac:dyDescent="0.3">
      <c r="B34" s="41">
        <v>11</v>
      </c>
      <c r="C34" s="41" t="s">
        <v>187</v>
      </c>
      <c r="D34" s="41" t="s">
        <v>1661</v>
      </c>
      <c r="E34" s="41">
        <v>2</v>
      </c>
      <c r="F34" s="41" t="s">
        <v>1678</v>
      </c>
    </row>
    <row r="35" spans="2:6" x14ac:dyDescent="0.3">
      <c r="B35" s="41">
        <v>12</v>
      </c>
      <c r="C35" s="41" t="s">
        <v>187</v>
      </c>
      <c r="D35" s="41" t="s">
        <v>1661</v>
      </c>
      <c r="E35" s="41">
        <v>3</v>
      </c>
      <c r="F35" s="41" t="s">
        <v>1679</v>
      </c>
    </row>
    <row r="36" spans="2:6" x14ac:dyDescent="0.3">
      <c r="B36" s="41">
        <v>13</v>
      </c>
      <c r="C36" s="41" t="s">
        <v>187</v>
      </c>
      <c r="D36" s="41" t="s">
        <v>1662</v>
      </c>
      <c r="E36" s="41">
        <v>1</v>
      </c>
      <c r="F36" s="41" t="s">
        <v>1680</v>
      </c>
    </row>
    <row r="37" spans="2:6" x14ac:dyDescent="0.3">
      <c r="B37" s="41">
        <v>14</v>
      </c>
      <c r="C37" s="41" t="s">
        <v>187</v>
      </c>
      <c r="D37" s="41" t="s">
        <v>1662</v>
      </c>
      <c r="E37" s="41">
        <v>2</v>
      </c>
      <c r="F37" s="41" t="s">
        <v>1681</v>
      </c>
    </row>
    <row r="38" spans="2:6" x14ac:dyDescent="0.3">
      <c r="B38" s="41">
        <v>15</v>
      </c>
      <c r="C38" s="41" t="s">
        <v>187</v>
      </c>
      <c r="D38" s="41" t="s">
        <v>1662</v>
      </c>
      <c r="E38" s="41">
        <v>3</v>
      </c>
      <c r="F38" s="41" t="s">
        <v>1682</v>
      </c>
    </row>
    <row r="39" spans="2:6" x14ac:dyDescent="0.3">
      <c r="B39" s="41">
        <v>16</v>
      </c>
      <c r="C39" s="41" t="s">
        <v>187</v>
      </c>
      <c r="D39" s="41" t="s">
        <v>1663</v>
      </c>
      <c r="E39" s="41">
        <v>1</v>
      </c>
      <c r="F39" s="41" t="s">
        <v>1683</v>
      </c>
    </row>
    <row r="40" spans="2:6" x14ac:dyDescent="0.3">
      <c r="B40" s="41">
        <v>17</v>
      </c>
      <c r="C40" s="41" t="s">
        <v>187</v>
      </c>
      <c r="D40" s="41" t="s">
        <v>1663</v>
      </c>
      <c r="E40" s="41">
        <v>2</v>
      </c>
      <c r="F40" s="41" t="s">
        <v>1684</v>
      </c>
    </row>
    <row r="41" spans="2:6" x14ac:dyDescent="0.3">
      <c r="B41" s="41">
        <v>18</v>
      </c>
      <c r="C41" s="41" t="s">
        <v>187</v>
      </c>
      <c r="D41" s="41" t="s">
        <v>1663</v>
      </c>
      <c r="E41" s="41">
        <v>3</v>
      </c>
      <c r="F41" s="41" t="s">
        <v>1685</v>
      </c>
    </row>
    <row r="42" spans="2:6" x14ac:dyDescent="0.3">
      <c r="B42" s="41">
        <v>19</v>
      </c>
      <c r="C42" s="41" t="s">
        <v>187</v>
      </c>
      <c r="D42" s="41" t="s">
        <v>1663</v>
      </c>
      <c r="E42" s="41">
        <v>4</v>
      </c>
      <c r="F42" s="41" t="s">
        <v>1686</v>
      </c>
    </row>
    <row r="43" spans="2:6" x14ac:dyDescent="0.3">
      <c r="B43" s="41">
        <v>20</v>
      </c>
      <c r="C43" s="41" t="s">
        <v>187</v>
      </c>
      <c r="D43" s="41" t="s">
        <v>1663</v>
      </c>
      <c r="E43" s="41">
        <v>5</v>
      </c>
      <c r="F43" s="41" t="s">
        <v>1687</v>
      </c>
    </row>
    <row r="44" spans="2:6" x14ac:dyDescent="0.3">
      <c r="B44" s="41">
        <v>21</v>
      </c>
      <c r="C44" s="41" t="s">
        <v>187</v>
      </c>
      <c r="D44" s="41" t="s">
        <v>1664</v>
      </c>
      <c r="E44" s="41">
        <v>1</v>
      </c>
      <c r="F44" s="41" t="s">
        <v>1688</v>
      </c>
    </row>
    <row r="45" spans="2:6" x14ac:dyDescent="0.3">
      <c r="B45" s="41">
        <v>22</v>
      </c>
      <c r="C45" s="41" t="s">
        <v>187</v>
      </c>
      <c r="D45" s="41" t="s">
        <v>1664</v>
      </c>
      <c r="E45" s="41">
        <v>2</v>
      </c>
      <c r="F45" s="41" t="s">
        <v>1689</v>
      </c>
    </row>
    <row r="46" spans="2:6" x14ac:dyDescent="0.3">
      <c r="B46" s="41">
        <v>23</v>
      </c>
      <c r="C46" s="41" t="s">
        <v>187</v>
      </c>
      <c r="D46" s="41" t="s">
        <v>1664</v>
      </c>
      <c r="E46" s="41">
        <v>3</v>
      </c>
      <c r="F46" s="41" t="s">
        <v>1690</v>
      </c>
    </row>
    <row r="47" spans="2:6" x14ac:dyDescent="0.3">
      <c r="B47" s="41">
        <v>24</v>
      </c>
      <c r="C47" s="41" t="s">
        <v>187</v>
      </c>
      <c r="D47" s="41" t="s">
        <v>1665</v>
      </c>
      <c r="E47" s="41">
        <v>1</v>
      </c>
      <c r="F47" s="41" t="s">
        <v>1691</v>
      </c>
    </row>
    <row r="48" spans="2:6" x14ac:dyDescent="0.3">
      <c r="B48" s="41">
        <v>25</v>
      </c>
      <c r="C48" s="41" t="s">
        <v>187</v>
      </c>
      <c r="D48" s="41" t="s">
        <v>1665</v>
      </c>
      <c r="E48" s="41">
        <v>2</v>
      </c>
      <c r="F48" s="41" t="s">
        <v>1692</v>
      </c>
    </row>
    <row r="49" spans="2:6" x14ac:dyDescent="0.3">
      <c r="B49" s="41">
        <v>26</v>
      </c>
      <c r="C49" s="41" t="s">
        <v>187</v>
      </c>
      <c r="D49" s="41" t="s">
        <v>1665</v>
      </c>
      <c r="E49" s="41">
        <v>3</v>
      </c>
      <c r="F49" s="41" t="s">
        <v>1693</v>
      </c>
    </row>
    <row r="50" spans="2:6" x14ac:dyDescent="0.3">
      <c r="B50" s="41">
        <v>27</v>
      </c>
      <c r="C50" s="41" t="s">
        <v>187</v>
      </c>
      <c r="D50" s="41" t="s">
        <v>1666</v>
      </c>
      <c r="E50" s="41">
        <v>1</v>
      </c>
      <c r="F50" s="41" t="s">
        <v>1694</v>
      </c>
    </row>
    <row r="51" spans="2:6" x14ac:dyDescent="0.3">
      <c r="B51" s="41">
        <v>28</v>
      </c>
      <c r="C51" s="41" t="s">
        <v>187</v>
      </c>
      <c r="D51" s="41" t="s">
        <v>1666</v>
      </c>
      <c r="E51" s="41">
        <v>2</v>
      </c>
      <c r="F51" s="41" t="s">
        <v>1695</v>
      </c>
    </row>
    <row r="52" spans="2:6" x14ac:dyDescent="0.3">
      <c r="B52" s="41">
        <v>29</v>
      </c>
      <c r="C52" s="41" t="s">
        <v>187</v>
      </c>
      <c r="D52" s="41" t="s">
        <v>1666</v>
      </c>
      <c r="E52" s="41">
        <v>3</v>
      </c>
      <c r="F52" s="41" t="s">
        <v>1696</v>
      </c>
    </row>
    <row r="53" spans="2:6" x14ac:dyDescent="0.3">
      <c r="B53" s="41">
        <v>30</v>
      </c>
      <c r="C53" s="41" t="s">
        <v>187</v>
      </c>
      <c r="D53" s="41" t="s">
        <v>1667</v>
      </c>
      <c r="E53" s="41">
        <v>1</v>
      </c>
      <c r="F53" s="41" t="s">
        <v>1697</v>
      </c>
    </row>
    <row r="54" spans="2:6" x14ac:dyDescent="0.3">
      <c r="B54" s="41">
        <v>31</v>
      </c>
      <c r="C54" s="41" t="s">
        <v>187</v>
      </c>
      <c r="D54" s="41" t="s">
        <v>1667</v>
      </c>
      <c r="E54" s="41">
        <v>2</v>
      </c>
      <c r="F54" s="41" t="s">
        <v>1698</v>
      </c>
    </row>
    <row r="55" spans="2:6" x14ac:dyDescent="0.3">
      <c r="B55" s="41">
        <v>32</v>
      </c>
      <c r="C55" s="41" t="s">
        <v>187</v>
      </c>
      <c r="D55" s="41" t="s">
        <v>1667</v>
      </c>
      <c r="E55" s="41">
        <v>3</v>
      </c>
      <c r="F55" s="41" t="s">
        <v>1699</v>
      </c>
    </row>
  </sheetData>
  <mergeCells count="1">
    <mergeCell ref="B2:F2"/>
  </mergeCells>
  <pageMargins left="0.25" right="0.25" top="0.75" bottom="0.75" header="0.3" footer="0.3"/>
  <pageSetup paperSize="9" scale="81" fitToHeight="0" orientation="landscape" horizontalDpi="300" verticalDpi="300" r:id="rId1"/>
  <headerFooter>
    <oddFooter>&amp;LPulse Oximetry allocation&amp;C&amp;A&amp;R&amp;P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2" tint="-0.249977111117893"/>
    <pageSetUpPr fitToPage="1"/>
  </sheetPr>
  <dimension ref="B2:F35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1700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1701</v>
      </c>
      <c r="C4" s="22">
        <v>17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12</v>
      </c>
      <c r="E8" s="38" t="s">
        <v>1702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1703</v>
      </c>
      <c r="D11" s="40">
        <v>5</v>
      </c>
    </row>
    <row r="12" spans="2:6" x14ac:dyDescent="0.3">
      <c r="B12" s="39">
        <v>2</v>
      </c>
      <c r="C12" s="39" t="s">
        <v>1704</v>
      </c>
      <c r="D12" s="40">
        <v>3</v>
      </c>
    </row>
    <row r="13" spans="2:6" x14ac:dyDescent="0.3">
      <c r="B13" s="39">
        <v>3</v>
      </c>
      <c r="C13" s="39" t="s">
        <v>1705</v>
      </c>
      <c r="D13" s="40">
        <v>3</v>
      </c>
    </row>
    <row r="14" spans="2:6" x14ac:dyDescent="0.3">
      <c r="B14" s="39">
        <v>4</v>
      </c>
      <c r="C14" s="39" t="s">
        <v>1706</v>
      </c>
      <c r="D14" s="40">
        <v>3</v>
      </c>
    </row>
    <row r="15" spans="2:6" x14ac:dyDescent="0.3">
      <c r="B15" s="41">
        <v>5</v>
      </c>
      <c r="C15" s="39" t="s">
        <v>1707</v>
      </c>
      <c r="D15" s="40">
        <v>3</v>
      </c>
    </row>
    <row r="16" spans="2:6" x14ac:dyDescent="0.3">
      <c r="C16" s="42" t="s">
        <v>150</v>
      </c>
      <c r="D16" s="43">
        <f>SUM(D11:D15)</f>
        <v>17</v>
      </c>
    </row>
    <row r="18" spans="2:6" x14ac:dyDescent="0.3">
      <c r="B18" s="7" t="s">
        <v>197</v>
      </c>
      <c r="C18" s="7" t="s">
        <v>151</v>
      </c>
      <c r="D18" s="7" t="s">
        <v>215</v>
      </c>
      <c r="E18" s="7" t="s">
        <v>216</v>
      </c>
      <c r="F18" s="7" t="s">
        <v>217</v>
      </c>
    </row>
    <row r="19" spans="2:6" x14ac:dyDescent="0.3">
      <c r="B19" s="41">
        <v>1</v>
      </c>
      <c r="C19" s="41" t="s">
        <v>188</v>
      </c>
      <c r="D19" s="41" t="s">
        <v>1703</v>
      </c>
      <c r="E19" s="41">
        <v>1</v>
      </c>
      <c r="F19" s="41" t="s">
        <v>1708</v>
      </c>
    </row>
    <row r="20" spans="2:6" x14ac:dyDescent="0.3">
      <c r="B20" s="41">
        <v>2</v>
      </c>
      <c r="C20" s="41" t="s">
        <v>188</v>
      </c>
      <c r="D20" s="41" t="s">
        <v>1703</v>
      </c>
      <c r="E20" s="41">
        <v>2</v>
      </c>
      <c r="F20" s="41" t="s">
        <v>1709</v>
      </c>
    </row>
    <row r="21" spans="2:6" x14ac:dyDescent="0.3">
      <c r="B21" s="41">
        <v>3</v>
      </c>
      <c r="C21" s="41" t="s">
        <v>188</v>
      </c>
      <c r="D21" s="41" t="s">
        <v>1703</v>
      </c>
      <c r="E21" s="41">
        <v>3</v>
      </c>
      <c r="F21" s="41" t="s">
        <v>1710</v>
      </c>
    </row>
    <row r="22" spans="2:6" x14ac:dyDescent="0.3">
      <c r="B22" s="41">
        <v>4</v>
      </c>
      <c r="C22" s="41" t="s">
        <v>188</v>
      </c>
      <c r="D22" s="41" t="s">
        <v>1703</v>
      </c>
      <c r="E22" s="41">
        <v>4</v>
      </c>
      <c r="F22" s="41" t="s">
        <v>1711</v>
      </c>
    </row>
    <row r="23" spans="2:6" x14ac:dyDescent="0.3">
      <c r="B23" s="41">
        <v>5</v>
      </c>
      <c r="C23" s="41" t="s">
        <v>188</v>
      </c>
      <c r="D23" s="41" t="s">
        <v>1703</v>
      </c>
      <c r="E23" s="41">
        <v>5</v>
      </c>
      <c r="F23" s="41" t="s">
        <v>1712</v>
      </c>
    </row>
    <row r="24" spans="2:6" x14ac:dyDescent="0.3">
      <c r="B24" s="41">
        <v>6</v>
      </c>
      <c r="C24" s="41" t="s">
        <v>188</v>
      </c>
      <c r="D24" s="41" t="s">
        <v>1704</v>
      </c>
      <c r="E24" s="41">
        <v>1</v>
      </c>
      <c r="F24" s="41" t="s">
        <v>1713</v>
      </c>
    </row>
    <row r="25" spans="2:6" x14ac:dyDescent="0.3">
      <c r="B25" s="41">
        <v>7</v>
      </c>
      <c r="C25" s="41" t="s">
        <v>188</v>
      </c>
      <c r="D25" s="41" t="s">
        <v>1704</v>
      </c>
      <c r="E25" s="41">
        <v>2</v>
      </c>
      <c r="F25" s="41" t="s">
        <v>1714</v>
      </c>
    </row>
    <row r="26" spans="2:6" x14ac:dyDescent="0.3">
      <c r="B26" s="41">
        <v>8</v>
      </c>
      <c r="C26" s="41" t="s">
        <v>188</v>
      </c>
      <c r="D26" s="41" t="s">
        <v>1704</v>
      </c>
      <c r="E26" s="41">
        <v>3</v>
      </c>
      <c r="F26" s="41" t="s">
        <v>1715</v>
      </c>
    </row>
    <row r="27" spans="2:6" x14ac:dyDescent="0.3">
      <c r="B27" s="41">
        <v>9</v>
      </c>
      <c r="C27" s="41" t="s">
        <v>188</v>
      </c>
      <c r="D27" s="41" t="s">
        <v>1705</v>
      </c>
      <c r="E27" s="41">
        <v>1</v>
      </c>
      <c r="F27" s="41" t="s">
        <v>1716</v>
      </c>
    </row>
    <row r="28" spans="2:6" x14ac:dyDescent="0.3">
      <c r="B28" s="41">
        <v>10</v>
      </c>
      <c r="C28" s="41" t="s">
        <v>188</v>
      </c>
      <c r="D28" s="41" t="s">
        <v>1705</v>
      </c>
      <c r="E28" s="41">
        <v>2</v>
      </c>
      <c r="F28" s="41" t="s">
        <v>1717</v>
      </c>
    </row>
    <row r="29" spans="2:6" x14ac:dyDescent="0.3">
      <c r="B29" s="41">
        <v>11</v>
      </c>
      <c r="C29" s="41" t="s">
        <v>188</v>
      </c>
      <c r="D29" s="41" t="s">
        <v>1705</v>
      </c>
      <c r="E29" s="41">
        <v>3</v>
      </c>
      <c r="F29" s="41" t="s">
        <v>1718</v>
      </c>
    </row>
    <row r="30" spans="2:6" x14ac:dyDescent="0.3">
      <c r="B30" s="41">
        <v>12</v>
      </c>
      <c r="C30" s="41" t="s">
        <v>188</v>
      </c>
      <c r="D30" s="41" t="s">
        <v>1706</v>
      </c>
      <c r="E30" s="41">
        <v>1</v>
      </c>
      <c r="F30" s="41" t="s">
        <v>1719</v>
      </c>
    </row>
    <row r="31" spans="2:6" x14ac:dyDescent="0.3">
      <c r="B31" s="41">
        <v>13</v>
      </c>
      <c r="C31" s="41" t="s">
        <v>188</v>
      </c>
      <c r="D31" s="41" t="s">
        <v>1706</v>
      </c>
      <c r="E31" s="41">
        <v>2</v>
      </c>
      <c r="F31" s="41" t="s">
        <v>1720</v>
      </c>
    </row>
    <row r="32" spans="2:6" x14ac:dyDescent="0.3">
      <c r="B32" s="41">
        <v>14</v>
      </c>
      <c r="C32" s="41" t="s">
        <v>188</v>
      </c>
      <c r="D32" s="41" t="s">
        <v>1706</v>
      </c>
      <c r="E32" s="41">
        <v>3</v>
      </c>
      <c r="F32" s="41" t="s">
        <v>1721</v>
      </c>
    </row>
    <row r="33" spans="2:6" x14ac:dyDescent="0.3">
      <c r="B33" s="41">
        <v>15</v>
      </c>
      <c r="C33" s="41" t="s">
        <v>188</v>
      </c>
      <c r="D33" s="41" t="s">
        <v>1707</v>
      </c>
      <c r="E33" s="41">
        <v>1</v>
      </c>
      <c r="F33" s="41" t="s">
        <v>1722</v>
      </c>
    </row>
    <row r="34" spans="2:6" x14ac:dyDescent="0.3">
      <c r="B34" s="41">
        <v>16</v>
      </c>
      <c r="C34" s="41" t="s">
        <v>188</v>
      </c>
      <c r="D34" s="41" t="s">
        <v>1707</v>
      </c>
      <c r="E34" s="41">
        <v>2</v>
      </c>
      <c r="F34" s="41" t="s">
        <v>1723</v>
      </c>
    </row>
    <row r="35" spans="2:6" x14ac:dyDescent="0.3">
      <c r="B35" s="41">
        <v>17</v>
      </c>
      <c r="C35" s="41" t="s">
        <v>188</v>
      </c>
      <c r="D35" s="41" t="s">
        <v>1707</v>
      </c>
      <c r="E35" s="41">
        <v>3</v>
      </c>
      <c r="F35" s="41" t="s">
        <v>1724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2" tint="-0.249977111117893"/>
    <pageSetUpPr fitToPage="1"/>
  </sheetPr>
  <dimension ref="B2:F27"/>
  <sheetViews>
    <sheetView showGridLines="0" tabSelected="1" view="pageLayout" topLeftCell="A2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1725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1726</v>
      </c>
      <c r="C4" s="22">
        <v>11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6</v>
      </c>
      <c r="E8" s="38" t="s">
        <v>1727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1728</v>
      </c>
      <c r="D11" s="40">
        <v>3</v>
      </c>
    </row>
    <row r="12" spans="2:6" x14ac:dyDescent="0.3">
      <c r="B12" s="39">
        <v>2</v>
      </c>
      <c r="C12" s="39" t="s">
        <v>1729</v>
      </c>
      <c r="D12" s="40">
        <v>5</v>
      </c>
    </row>
    <row r="13" spans="2:6" x14ac:dyDescent="0.3">
      <c r="B13" s="41">
        <v>3</v>
      </c>
      <c r="C13" s="39" t="s">
        <v>1730</v>
      </c>
      <c r="D13" s="40">
        <v>3</v>
      </c>
    </row>
    <row r="14" spans="2:6" x14ac:dyDescent="0.3">
      <c r="C14" s="97" t="s">
        <v>150</v>
      </c>
      <c r="D14" s="43">
        <f>SUM(D11:D13)</f>
        <v>11</v>
      </c>
    </row>
    <row r="16" spans="2:6" x14ac:dyDescent="0.3">
      <c r="B16" s="7" t="s">
        <v>197</v>
      </c>
      <c r="C16" s="7" t="s">
        <v>151</v>
      </c>
      <c r="D16" s="7" t="s">
        <v>215</v>
      </c>
      <c r="E16" s="7" t="s">
        <v>216</v>
      </c>
      <c r="F16" s="7" t="s">
        <v>217</v>
      </c>
    </row>
    <row r="17" spans="2:6" x14ac:dyDescent="0.3">
      <c r="B17" s="41">
        <v>1</v>
      </c>
      <c r="C17" s="41" t="s">
        <v>189</v>
      </c>
      <c r="D17" s="41" t="s">
        <v>1728</v>
      </c>
      <c r="E17" s="41">
        <v>1</v>
      </c>
      <c r="F17" s="41" t="s">
        <v>1731</v>
      </c>
    </row>
    <row r="18" spans="2:6" x14ac:dyDescent="0.3">
      <c r="B18" s="41">
        <v>2</v>
      </c>
      <c r="C18" s="41" t="s">
        <v>189</v>
      </c>
      <c r="D18" s="41" t="s">
        <v>1728</v>
      </c>
      <c r="E18" s="41">
        <v>2</v>
      </c>
      <c r="F18" s="41" t="s">
        <v>1732</v>
      </c>
    </row>
    <row r="19" spans="2:6" x14ac:dyDescent="0.3">
      <c r="B19" s="41">
        <v>3</v>
      </c>
      <c r="C19" s="41" t="s">
        <v>189</v>
      </c>
      <c r="D19" s="41" t="s">
        <v>1728</v>
      </c>
      <c r="E19" s="41">
        <v>3</v>
      </c>
      <c r="F19" s="41" t="s">
        <v>1733</v>
      </c>
    </row>
    <row r="20" spans="2:6" x14ac:dyDescent="0.3">
      <c r="B20" s="41">
        <v>4</v>
      </c>
      <c r="C20" s="41" t="s">
        <v>189</v>
      </c>
      <c r="D20" s="41" t="s">
        <v>1729</v>
      </c>
      <c r="E20" s="41">
        <v>1</v>
      </c>
      <c r="F20" s="41" t="s">
        <v>1734</v>
      </c>
    </row>
    <row r="21" spans="2:6" x14ac:dyDescent="0.3">
      <c r="B21" s="41">
        <v>5</v>
      </c>
      <c r="C21" s="41" t="s">
        <v>189</v>
      </c>
      <c r="D21" s="41" t="s">
        <v>1729</v>
      </c>
      <c r="E21" s="41">
        <v>2</v>
      </c>
      <c r="F21" s="41" t="s">
        <v>1735</v>
      </c>
    </row>
    <row r="22" spans="2:6" x14ac:dyDescent="0.3">
      <c r="B22" s="41">
        <v>6</v>
      </c>
      <c r="C22" s="41" t="s">
        <v>189</v>
      </c>
      <c r="D22" s="41" t="s">
        <v>1729</v>
      </c>
      <c r="E22" s="41">
        <v>3</v>
      </c>
      <c r="F22" s="41" t="s">
        <v>1736</v>
      </c>
    </row>
    <row r="23" spans="2:6" x14ac:dyDescent="0.3">
      <c r="B23" s="41">
        <v>7</v>
      </c>
      <c r="C23" s="41" t="s">
        <v>189</v>
      </c>
      <c r="D23" s="41" t="s">
        <v>1729</v>
      </c>
      <c r="E23" s="41">
        <v>4</v>
      </c>
      <c r="F23" s="41" t="s">
        <v>1737</v>
      </c>
    </row>
    <row r="24" spans="2:6" x14ac:dyDescent="0.3">
      <c r="B24" s="41">
        <v>8</v>
      </c>
      <c r="C24" s="41" t="s">
        <v>189</v>
      </c>
      <c r="D24" s="41" t="s">
        <v>1729</v>
      </c>
      <c r="E24" s="41">
        <v>5</v>
      </c>
      <c r="F24" s="41" t="s">
        <v>1738</v>
      </c>
    </row>
    <row r="25" spans="2:6" x14ac:dyDescent="0.3">
      <c r="B25" s="41">
        <v>9</v>
      </c>
      <c r="C25" s="41" t="s">
        <v>189</v>
      </c>
      <c r="D25" s="41" t="s">
        <v>1730</v>
      </c>
      <c r="E25" s="41">
        <v>1</v>
      </c>
      <c r="F25" s="41" t="s">
        <v>1739</v>
      </c>
    </row>
    <row r="26" spans="2:6" x14ac:dyDescent="0.3">
      <c r="B26" s="41">
        <v>10</v>
      </c>
      <c r="C26" s="41" t="s">
        <v>189</v>
      </c>
      <c r="D26" s="41" t="s">
        <v>1730</v>
      </c>
      <c r="E26" s="41">
        <v>2</v>
      </c>
      <c r="F26" s="41" t="s">
        <v>1740</v>
      </c>
    </row>
    <row r="27" spans="2:6" x14ac:dyDescent="0.3">
      <c r="B27" s="41">
        <v>11</v>
      </c>
      <c r="C27" s="41" t="s">
        <v>189</v>
      </c>
      <c r="D27" s="41" t="s">
        <v>1730</v>
      </c>
      <c r="E27" s="41">
        <v>3</v>
      </c>
      <c r="F27" s="41" t="s">
        <v>1741</v>
      </c>
    </row>
  </sheetData>
  <mergeCells count="1">
    <mergeCell ref="B2:F2"/>
  </mergeCells>
  <pageMargins left="0.25" right="0.25" top="0.75" bottom="0.75" header="0.3" footer="0.3"/>
  <pageSetup paperSize="9" scale="90" fitToHeight="0" orientation="landscape" horizontalDpi="300" verticalDpi="300" r:id="rId1"/>
  <headerFooter>
    <oddFooter>&amp;LPulse Oximetry allocation&amp;C&amp;A&amp;R&amp;P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2" tint="-0.249977111117893"/>
    <pageSetUpPr fitToPage="1"/>
  </sheetPr>
  <dimension ref="A2:I34"/>
  <sheetViews>
    <sheetView showGridLines="0" view="pageLayout" topLeftCell="B1" zoomScaleNormal="90" workbookViewId="0">
      <selection activeCell="C8" sqref="C8"/>
    </sheetView>
  </sheetViews>
  <sheetFormatPr defaultColWidth="8.5546875" defaultRowHeight="14.4" x14ac:dyDescent="0.3"/>
  <cols>
    <col min="2" max="2" width="37.44140625" customWidth="1"/>
    <col min="3" max="3" width="16.44140625" customWidth="1"/>
    <col min="4" max="4" width="36.44140625" customWidth="1"/>
    <col min="5" max="5" width="12.6640625" customWidth="1"/>
    <col min="6" max="6" width="14.5546875" customWidth="1"/>
  </cols>
  <sheetData>
    <row r="2" spans="1:6" ht="23.25" customHeight="1" x14ac:dyDescent="0.45">
      <c r="B2" s="247" t="s">
        <v>1742</v>
      </c>
      <c r="C2" s="247"/>
      <c r="D2" s="247"/>
      <c r="E2" s="247"/>
      <c r="F2" s="247"/>
    </row>
    <row r="3" spans="1:6" x14ac:dyDescent="0.3">
      <c r="B3" s="14"/>
      <c r="C3" s="197"/>
      <c r="D3" s="14"/>
      <c r="E3" s="14"/>
      <c r="F3" s="14"/>
    </row>
    <row r="4" spans="1:6" ht="17.25" customHeight="1" x14ac:dyDescent="0.35">
      <c r="B4" s="34" t="s">
        <v>1743</v>
      </c>
      <c r="C4" s="22">
        <v>17</v>
      </c>
    </row>
    <row r="5" spans="1:6" ht="15" customHeight="1" x14ac:dyDescent="0.3">
      <c r="B5" s="35" t="s">
        <v>288</v>
      </c>
    </row>
    <row r="7" spans="1:6" x14ac:dyDescent="0.3">
      <c r="A7" s="80"/>
      <c r="B7" s="152" t="s">
        <v>289</v>
      </c>
      <c r="C7" s="153">
        <v>5</v>
      </c>
      <c r="D7" s="62" t="s">
        <v>498</v>
      </c>
      <c r="E7" t="s">
        <v>499</v>
      </c>
    </row>
    <row r="8" spans="1:6" x14ac:dyDescent="0.3">
      <c r="A8" s="80"/>
      <c r="B8" s="154" t="s">
        <v>147</v>
      </c>
      <c r="C8" s="155">
        <v>9</v>
      </c>
      <c r="D8">
        <v>3</v>
      </c>
      <c r="E8" s="38" t="s">
        <v>1744</v>
      </c>
    </row>
    <row r="9" spans="1:6" x14ac:dyDescent="0.3">
      <c r="B9" s="14"/>
      <c r="C9" s="14"/>
      <c r="D9" s="14"/>
    </row>
    <row r="10" spans="1:6" x14ac:dyDescent="0.3">
      <c r="B10" s="12" t="s">
        <v>197</v>
      </c>
      <c r="C10" s="12" t="s">
        <v>215</v>
      </c>
      <c r="D10" s="12" t="s">
        <v>290</v>
      </c>
    </row>
    <row r="11" spans="1:6" x14ac:dyDescent="0.3">
      <c r="A11" s="80"/>
      <c r="B11" s="156">
        <v>1</v>
      </c>
      <c r="C11" s="23" t="s">
        <v>1745</v>
      </c>
      <c r="D11" s="23">
        <v>5</v>
      </c>
    </row>
    <row r="12" spans="1:6" x14ac:dyDescent="0.3">
      <c r="A12" s="80"/>
      <c r="B12" s="157">
        <v>2</v>
      </c>
      <c r="C12" s="41" t="s">
        <v>1746</v>
      </c>
      <c r="D12" s="41">
        <v>3</v>
      </c>
    </row>
    <row r="13" spans="1:6" x14ac:dyDescent="0.3">
      <c r="A13" s="80"/>
      <c r="B13" s="157">
        <v>3</v>
      </c>
      <c r="C13" s="41" t="s">
        <v>1747</v>
      </c>
      <c r="D13" s="41">
        <v>3</v>
      </c>
    </row>
    <row r="14" spans="1:6" x14ac:dyDescent="0.3">
      <c r="A14" s="80"/>
      <c r="B14" s="158">
        <v>4</v>
      </c>
      <c r="C14" s="39" t="s">
        <v>1748</v>
      </c>
      <c r="D14" s="39">
        <v>3</v>
      </c>
    </row>
    <row r="15" spans="1:6" x14ac:dyDescent="0.3">
      <c r="B15" s="17">
        <v>5</v>
      </c>
      <c r="C15" s="17" t="s">
        <v>1749</v>
      </c>
      <c r="D15" s="17">
        <v>3</v>
      </c>
    </row>
    <row r="16" spans="1:6" x14ac:dyDescent="0.3">
      <c r="A16" s="80"/>
      <c r="B16" s="159"/>
      <c r="C16" s="160" t="s">
        <v>150</v>
      </c>
      <c r="D16" s="160">
        <f>SUM(D11:D15)</f>
        <v>17</v>
      </c>
    </row>
    <row r="17" spans="1:9" x14ac:dyDescent="0.3">
      <c r="B17" s="21"/>
      <c r="C17" s="21"/>
      <c r="D17" s="21"/>
      <c r="E17" s="21"/>
      <c r="F17" s="21"/>
    </row>
    <row r="18" spans="1:9" x14ac:dyDescent="0.3">
      <c r="A18" s="80"/>
      <c r="B18" s="121" t="s">
        <v>197</v>
      </c>
      <c r="C18" s="121" t="s">
        <v>151</v>
      </c>
      <c r="D18" s="121" t="s">
        <v>215</v>
      </c>
      <c r="E18" s="121" t="s">
        <v>216</v>
      </c>
      <c r="F18" s="121" t="s">
        <v>217</v>
      </c>
    </row>
    <row r="19" spans="1:9" x14ac:dyDescent="0.3">
      <c r="A19" s="80"/>
      <c r="B19" s="157">
        <v>1</v>
      </c>
      <c r="C19" s="41" t="s">
        <v>190</v>
      </c>
      <c r="D19" s="41" t="s">
        <v>1745</v>
      </c>
      <c r="E19" s="41">
        <v>1</v>
      </c>
      <c r="F19" s="41" t="s">
        <v>1750</v>
      </c>
    </row>
    <row r="20" spans="1:9" x14ac:dyDescent="0.3">
      <c r="A20" s="80"/>
      <c r="B20" s="157">
        <v>2</v>
      </c>
      <c r="C20" s="41" t="s">
        <v>190</v>
      </c>
      <c r="D20" s="41" t="s">
        <v>1745</v>
      </c>
      <c r="E20" s="41">
        <v>2</v>
      </c>
      <c r="F20" s="41" t="s">
        <v>1751</v>
      </c>
    </row>
    <row r="21" spans="1:9" x14ac:dyDescent="0.3">
      <c r="A21" s="80"/>
      <c r="B21" s="157">
        <v>3</v>
      </c>
      <c r="C21" s="41" t="s">
        <v>190</v>
      </c>
      <c r="D21" s="41" t="s">
        <v>1745</v>
      </c>
      <c r="E21" s="41">
        <v>3</v>
      </c>
      <c r="F21" s="41" t="s">
        <v>1752</v>
      </c>
    </row>
    <row r="22" spans="1:9" x14ac:dyDescent="0.3">
      <c r="A22" s="80"/>
      <c r="B22" s="157">
        <v>4</v>
      </c>
      <c r="C22" s="41" t="s">
        <v>190</v>
      </c>
      <c r="D22" s="41" t="s">
        <v>1745</v>
      </c>
      <c r="E22" s="41">
        <v>4</v>
      </c>
      <c r="F22" s="41" t="s">
        <v>1753</v>
      </c>
    </row>
    <row r="23" spans="1:9" x14ac:dyDescent="0.3">
      <c r="A23" s="80"/>
      <c r="B23" s="157">
        <v>5</v>
      </c>
      <c r="C23" s="41" t="s">
        <v>190</v>
      </c>
      <c r="D23" s="41" t="s">
        <v>1745</v>
      </c>
      <c r="E23" s="41">
        <v>5</v>
      </c>
      <c r="F23" s="41" t="s">
        <v>1754</v>
      </c>
    </row>
    <row r="24" spans="1:9" x14ac:dyDescent="0.3">
      <c r="A24" s="80"/>
      <c r="B24" s="157">
        <v>6</v>
      </c>
      <c r="C24" s="41" t="s">
        <v>190</v>
      </c>
      <c r="D24" s="41" t="s">
        <v>1746</v>
      </c>
      <c r="E24" s="41">
        <v>1</v>
      </c>
      <c r="F24" s="41" t="s">
        <v>1755</v>
      </c>
    </row>
    <row r="25" spans="1:9" x14ac:dyDescent="0.3">
      <c r="A25" s="80"/>
      <c r="B25" s="157">
        <v>7</v>
      </c>
      <c r="C25" s="41" t="s">
        <v>190</v>
      </c>
      <c r="D25" s="41" t="s">
        <v>1746</v>
      </c>
      <c r="E25" s="41">
        <v>2</v>
      </c>
      <c r="F25" s="41" t="s">
        <v>1756</v>
      </c>
    </row>
    <row r="26" spans="1:9" x14ac:dyDescent="0.3">
      <c r="A26" s="80"/>
      <c r="B26" s="157">
        <v>8</v>
      </c>
      <c r="C26" s="41" t="s">
        <v>190</v>
      </c>
      <c r="D26" s="41" t="s">
        <v>1746</v>
      </c>
      <c r="E26" s="41">
        <v>3</v>
      </c>
      <c r="F26" s="41" t="s">
        <v>1757</v>
      </c>
    </row>
    <row r="27" spans="1:9" x14ac:dyDescent="0.3">
      <c r="A27" s="80"/>
      <c r="B27" s="157">
        <v>9</v>
      </c>
      <c r="C27" s="41" t="s">
        <v>190</v>
      </c>
      <c r="D27" s="41" t="s">
        <v>1747</v>
      </c>
      <c r="E27" s="41">
        <v>1</v>
      </c>
      <c r="F27" s="41" t="s">
        <v>1758</v>
      </c>
    </row>
    <row r="28" spans="1:9" x14ac:dyDescent="0.3">
      <c r="A28" s="80"/>
      <c r="B28" s="157">
        <v>10</v>
      </c>
      <c r="C28" s="41" t="s">
        <v>190</v>
      </c>
      <c r="D28" s="41" t="s">
        <v>1747</v>
      </c>
      <c r="E28" s="41">
        <v>2</v>
      </c>
      <c r="F28" s="41" t="s">
        <v>1759</v>
      </c>
    </row>
    <row r="29" spans="1:9" x14ac:dyDescent="0.3">
      <c r="A29" s="80"/>
      <c r="B29" s="157">
        <v>11</v>
      </c>
      <c r="C29" s="41" t="s">
        <v>190</v>
      </c>
      <c r="D29" s="41" t="s">
        <v>1747</v>
      </c>
      <c r="E29" s="41">
        <v>3</v>
      </c>
      <c r="F29" s="41" t="s">
        <v>1760</v>
      </c>
    </row>
    <row r="30" spans="1:9" x14ac:dyDescent="0.3">
      <c r="A30" s="80"/>
      <c r="B30" s="157">
        <v>12</v>
      </c>
      <c r="C30" s="41" t="s">
        <v>190</v>
      </c>
      <c r="D30" s="41" t="s">
        <v>1748</v>
      </c>
      <c r="E30" s="41">
        <v>1</v>
      </c>
      <c r="F30" s="41" t="s">
        <v>1761</v>
      </c>
    </row>
    <row r="31" spans="1:9" ht="15" customHeight="1" x14ac:dyDescent="0.3">
      <c r="A31" s="80"/>
      <c r="B31" s="158">
        <v>13</v>
      </c>
      <c r="C31" s="39" t="s">
        <v>190</v>
      </c>
      <c r="D31" s="39" t="s">
        <v>1748</v>
      </c>
      <c r="E31" s="39">
        <v>2</v>
      </c>
      <c r="F31" s="39" t="s">
        <v>1762</v>
      </c>
    </row>
    <row r="32" spans="1:9" ht="15" customHeight="1" x14ac:dyDescent="0.3">
      <c r="B32" s="17">
        <v>15</v>
      </c>
      <c r="C32" s="47" t="s">
        <v>190</v>
      </c>
      <c r="D32" s="117" t="s">
        <v>1749</v>
      </c>
      <c r="E32" s="47">
        <v>1</v>
      </c>
      <c r="F32" s="47" t="s">
        <v>1763</v>
      </c>
      <c r="H32" s="114"/>
      <c r="I32" s="115" t="s">
        <v>737</v>
      </c>
    </row>
    <row r="33" spans="2:6" x14ac:dyDescent="0.3">
      <c r="B33" s="17">
        <v>16</v>
      </c>
      <c r="C33" s="47" t="s">
        <v>190</v>
      </c>
      <c r="D33" s="117" t="s">
        <v>1749</v>
      </c>
      <c r="E33" s="47">
        <v>2</v>
      </c>
      <c r="F33" s="47" t="s">
        <v>1764</v>
      </c>
    </row>
    <row r="34" spans="2:6" x14ac:dyDescent="0.3">
      <c r="B34" s="17">
        <v>17</v>
      </c>
      <c r="C34" s="47" t="s">
        <v>190</v>
      </c>
      <c r="D34" s="117" t="s">
        <v>1749</v>
      </c>
      <c r="E34" s="47">
        <v>3</v>
      </c>
      <c r="F34" s="47" t="s">
        <v>1765</v>
      </c>
    </row>
  </sheetData>
  <mergeCells count="1">
    <mergeCell ref="B2:F2"/>
  </mergeCells>
  <pageMargins left="0.25" right="0.25" top="0.75" bottom="0.75" header="0.3" footer="0.3"/>
  <pageSetup paperSize="9" scale="80" fitToHeight="0" orientation="landscape" horizontalDpi="300" verticalDpi="300" r:id="rId1"/>
  <headerFooter>
    <oddFooter>&amp;LPulse Oximetry allocation&amp;C&amp;A&amp;R&amp;P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2" tint="-0.249977111117893"/>
    <pageSetUpPr fitToPage="1"/>
  </sheetPr>
  <dimension ref="B3:K36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3" max="3" width="18.109375" customWidth="1"/>
    <col min="4" max="4" width="24.88671875" customWidth="1"/>
    <col min="10" max="10" width="28.6640625" customWidth="1"/>
    <col min="11" max="11" width="16.88671875" customWidth="1"/>
  </cols>
  <sheetData>
    <row r="3" spans="2:11" ht="15.75" customHeight="1" x14ac:dyDescent="0.3">
      <c r="B3" s="62" t="s">
        <v>1766</v>
      </c>
      <c r="C3" s="199"/>
      <c r="D3" s="161">
        <f>COUNTA(F11:F36)</f>
        <v>26</v>
      </c>
    </row>
    <row r="4" spans="2:11" x14ac:dyDescent="0.3">
      <c r="B4" s="63" t="s">
        <v>288</v>
      </c>
    </row>
    <row r="6" spans="2:11" x14ac:dyDescent="0.3">
      <c r="B6" s="44" t="s">
        <v>146</v>
      </c>
      <c r="C6" s="26"/>
      <c r="D6" s="45">
        <f t="array" ref="D6">SUMPRODUCT((ISNUMBER(SEARCH("Referral",D11:D36)))*1)+(SUMPRODUCT((ISNUMBER(SEARCH("Teaching",D11:D36)))*1))</f>
        <v>5</v>
      </c>
    </row>
    <row r="7" spans="2:11" x14ac:dyDescent="0.3">
      <c r="B7" s="44" t="s">
        <v>147</v>
      </c>
      <c r="C7" s="26"/>
      <c r="D7" s="45">
        <f t="array" ref="D7">SUMPRODUCT((ISNUMBER(SEARCH("hospital",D11:D36)))*1)-SUMPRODUCT((ISNUMBER(SEARCH("Referral",D11:D36)))*(ISNUMBER(SEARCH("hospital",D11:D36)))*1)</f>
        <v>21</v>
      </c>
      <c r="F7" s="38"/>
    </row>
    <row r="8" spans="2:11" x14ac:dyDescent="0.3">
      <c r="B8" s="44" t="s">
        <v>148</v>
      </c>
      <c r="C8" s="26"/>
      <c r="D8" s="45">
        <f>D3-D6-D7</f>
        <v>0</v>
      </c>
    </row>
    <row r="10" spans="2:11" x14ac:dyDescent="0.3">
      <c r="B10" s="7" t="s">
        <v>197</v>
      </c>
      <c r="C10" s="7" t="s">
        <v>151</v>
      </c>
      <c r="D10" s="7" t="s">
        <v>215</v>
      </c>
      <c r="E10" s="7" t="s">
        <v>216</v>
      </c>
      <c r="F10" s="7" t="s">
        <v>217</v>
      </c>
      <c r="I10" s="7" t="s">
        <v>197</v>
      </c>
      <c r="J10" s="7" t="s">
        <v>215</v>
      </c>
      <c r="K10" s="121" t="s">
        <v>290</v>
      </c>
    </row>
    <row r="11" spans="2:11" x14ac:dyDescent="0.3">
      <c r="B11" s="41">
        <v>1</v>
      </c>
      <c r="C11" s="41" t="s">
        <v>191</v>
      </c>
      <c r="D11" s="41" t="s">
        <v>1767</v>
      </c>
      <c r="E11" s="41">
        <v>1</v>
      </c>
      <c r="F11" s="41" t="s">
        <v>1768</v>
      </c>
      <c r="I11" s="25">
        <v>1</v>
      </c>
      <c r="J11" s="25" t="str">
        <f t="array" ref="J11:J18">_xlfn.UNIQUE(D11:D36)</f>
        <v>Cherangany Sub County Hospital</v>
      </c>
      <c r="K11" s="25">
        <v>3</v>
      </c>
    </row>
    <row r="12" spans="2:11" x14ac:dyDescent="0.3">
      <c r="B12" s="41">
        <v>2</v>
      </c>
      <c r="C12" s="41" t="s">
        <v>191</v>
      </c>
      <c r="D12" s="41" t="s">
        <v>1767</v>
      </c>
      <c r="E12" s="41">
        <v>2</v>
      </c>
      <c r="F12" s="41" t="s">
        <v>1769</v>
      </c>
      <c r="I12" s="25">
        <v>2</v>
      </c>
      <c r="J12" s="25" t="str">
        <v>Endebess Sub County Hospital</v>
      </c>
      <c r="K12" s="25">
        <v>3</v>
      </c>
    </row>
    <row r="13" spans="2:11" x14ac:dyDescent="0.3">
      <c r="B13" s="41">
        <v>3</v>
      </c>
      <c r="C13" s="41" t="s">
        <v>191</v>
      </c>
      <c r="D13" s="41" t="s">
        <v>1767</v>
      </c>
      <c r="E13" s="41">
        <v>3</v>
      </c>
      <c r="F13" s="41" t="s">
        <v>1770</v>
      </c>
      <c r="I13" s="25">
        <v>3</v>
      </c>
      <c r="J13" s="25" t="str">
        <v>Kapsara Sub County Hospital</v>
      </c>
      <c r="K13" s="25">
        <v>3</v>
      </c>
    </row>
    <row r="14" spans="2:11" x14ac:dyDescent="0.3">
      <c r="B14" s="41">
        <v>4</v>
      </c>
      <c r="C14" s="41" t="s">
        <v>191</v>
      </c>
      <c r="D14" s="41" t="s">
        <v>1771</v>
      </c>
      <c r="E14" s="41">
        <v>1</v>
      </c>
      <c r="F14" s="41" t="s">
        <v>1772</v>
      </c>
      <c r="I14" s="25">
        <v>4</v>
      </c>
      <c r="J14" s="25" t="str">
        <v>Kitale County Referral Hospital</v>
      </c>
      <c r="K14" s="25">
        <v>5</v>
      </c>
    </row>
    <row r="15" spans="2:11" x14ac:dyDescent="0.3">
      <c r="B15" s="41">
        <v>5</v>
      </c>
      <c r="C15" s="41" t="s">
        <v>191</v>
      </c>
      <c r="D15" s="41" t="s">
        <v>1771</v>
      </c>
      <c r="E15" s="41">
        <v>2</v>
      </c>
      <c r="F15" s="41" t="s">
        <v>1773</v>
      </c>
      <c r="I15" s="25">
        <v>5</v>
      </c>
      <c r="J15" s="25" t="str">
        <v>Kwanza Sub County Hospital</v>
      </c>
      <c r="K15" s="25">
        <v>3</v>
      </c>
    </row>
    <row r="16" spans="2:11" x14ac:dyDescent="0.3">
      <c r="B16" s="41">
        <v>6</v>
      </c>
      <c r="C16" s="41" t="s">
        <v>191</v>
      </c>
      <c r="D16" s="41" t="s">
        <v>1771</v>
      </c>
      <c r="E16" s="41">
        <v>3</v>
      </c>
      <c r="F16" s="41" t="s">
        <v>1774</v>
      </c>
      <c r="I16" s="25">
        <v>6</v>
      </c>
      <c r="J16" s="25" t="str">
        <v>Lukhome Sub County Hospital</v>
      </c>
      <c r="K16" s="25">
        <v>3</v>
      </c>
    </row>
    <row r="17" spans="2:11" x14ac:dyDescent="0.3">
      <c r="B17" s="41">
        <v>7</v>
      </c>
      <c r="C17" s="41" t="s">
        <v>191</v>
      </c>
      <c r="D17" s="41" t="s">
        <v>1775</v>
      </c>
      <c r="E17" s="41">
        <v>1</v>
      </c>
      <c r="F17" s="41" t="s">
        <v>1776</v>
      </c>
      <c r="I17" s="25">
        <v>7</v>
      </c>
      <c r="J17" s="25" t="str">
        <v>Matunda Sub County Hospital</v>
      </c>
      <c r="K17" s="25">
        <v>3</v>
      </c>
    </row>
    <row r="18" spans="2:11" x14ac:dyDescent="0.3">
      <c r="B18" s="41">
        <v>8</v>
      </c>
      <c r="C18" s="41" t="s">
        <v>191</v>
      </c>
      <c r="D18" s="41" t="s">
        <v>1775</v>
      </c>
      <c r="E18" s="41">
        <v>2</v>
      </c>
      <c r="F18" s="41" t="s">
        <v>1777</v>
      </c>
      <c r="I18" s="25">
        <v>8</v>
      </c>
      <c r="J18" s="25" t="str">
        <v>Saboti Sub County Hospital</v>
      </c>
      <c r="K18" s="25">
        <v>3</v>
      </c>
    </row>
    <row r="19" spans="2:11" x14ac:dyDescent="0.3">
      <c r="B19" s="41">
        <v>9</v>
      </c>
      <c r="C19" s="41" t="s">
        <v>191</v>
      </c>
      <c r="D19" s="41" t="s">
        <v>1775</v>
      </c>
      <c r="E19" s="41">
        <v>3</v>
      </c>
      <c r="F19" s="41" t="s">
        <v>1778</v>
      </c>
      <c r="I19" s="25"/>
      <c r="J19" s="131" t="s">
        <v>1512</v>
      </c>
      <c r="K19" s="131">
        <f>SUM(K11:K18)</f>
        <v>26</v>
      </c>
    </row>
    <row r="20" spans="2:11" x14ac:dyDescent="0.3">
      <c r="B20" s="41">
        <v>10</v>
      </c>
      <c r="C20" s="41" t="s">
        <v>191</v>
      </c>
      <c r="D20" s="41" t="s">
        <v>1779</v>
      </c>
      <c r="E20" s="41">
        <v>1</v>
      </c>
      <c r="F20" s="41" t="s">
        <v>1780</v>
      </c>
    </row>
    <row r="21" spans="2:11" x14ac:dyDescent="0.3">
      <c r="B21" s="41">
        <v>11</v>
      </c>
      <c r="C21" s="41" t="s">
        <v>191</v>
      </c>
      <c r="D21" s="41" t="s">
        <v>1779</v>
      </c>
      <c r="E21" s="41">
        <v>2</v>
      </c>
      <c r="F21" s="41" t="s">
        <v>1781</v>
      </c>
    </row>
    <row r="22" spans="2:11" x14ac:dyDescent="0.3">
      <c r="B22" s="41">
        <v>12</v>
      </c>
      <c r="C22" s="41" t="s">
        <v>191</v>
      </c>
      <c r="D22" s="41" t="s">
        <v>1779</v>
      </c>
      <c r="E22" s="41">
        <v>3</v>
      </c>
      <c r="F22" s="41" t="s">
        <v>1782</v>
      </c>
    </row>
    <row r="23" spans="2:11" x14ac:dyDescent="0.3">
      <c r="B23" s="41">
        <v>13</v>
      </c>
      <c r="C23" s="41" t="s">
        <v>191</v>
      </c>
      <c r="D23" s="41" t="s">
        <v>1779</v>
      </c>
      <c r="E23" s="41">
        <v>4</v>
      </c>
      <c r="F23" s="41" t="s">
        <v>1783</v>
      </c>
    </row>
    <row r="24" spans="2:11" x14ac:dyDescent="0.3">
      <c r="B24" s="41">
        <v>14</v>
      </c>
      <c r="C24" s="41" t="s">
        <v>191</v>
      </c>
      <c r="D24" s="41" t="s">
        <v>1779</v>
      </c>
      <c r="E24" s="41">
        <v>5</v>
      </c>
      <c r="F24" s="41" t="s">
        <v>1784</v>
      </c>
    </row>
    <row r="25" spans="2:11" x14ac:dyDescent="0.3">
      <c r="B25" s="41">
        <v>15</v>
      </c>
      <c r="C25" s="41" t="s">
        <v>191</v>
      </c>
      <c r="D25" s="41" t="s">
        <v>1785</v>
      </c>
      <c r="E25" s="41">
        <v>1</v>
      </c>
      <c r="F25" s="41" t="s">
        <v>1786</v>
      </c>
    </row>
    <row r="26" spans="2:11" x14ac:dyDescent="0.3">
      <c r="B26" s="41">
        <v>16</v>
      </c>
      <c r="C26" s="41" t="s">
        <v>191</v>
      </c>
      <c r="D26" s="41" t="s">
        <v>1785</v>
      </c>
      <c r="E26" s="41">
        <v>2</v>
      </c>
      <c r="F26" s="41" t="s">
        <v>1787</v>
      </c>
    </row>
    <row r="27" spans="2:11" x14ac:dyDescent="0.3">
      <c r="B27" s="41">
        <v>17</v>
      </c>
      <c r="C27" s="41" t="s">
        <v>191</v>
      </c>
      <c r="D27" s="41" t="s">
        <v>1785</v>
      </c>
      <c r="E27" s="41">
        <v>3</v>
      </c>
      <c r="F27" s="41" t="s">
        <v>1788</v>
      </c>
    </row>
    <row r="28" spans="2:11" x14ac:dyDescent="0.3">
      <c r="B28" s="41">
        <v>18</v>
      </c>
      <c r="C28" s="41" t="s">
        <v>191</v>
      </c>
      <c r="D28" s="41" t="s">
        <v>1789</v>
      </c>
      <c r="E28" s="41">
        <v>1</v>
      </c>
      <c r="F28" s="41" t="s">
        <v>1790</v>
      </c>
    </row>
    <row r="29" spans="2:11" x14ac:dyDescent="0.3">
      <c r="B29" s="41">
        <v>19</v>
      </c>
      <c r="C29" s="41" t="s">
        <v>191</v>
      </c>
      <c r="D29" s="41" t="s">
        <v>1789</v>
      </c>
      <c r="E29" s="41">
        <v>2</v>
      </c>
      <c r="F29" s="41" t="s">
        <v>1791</v>
      </c>
    </row>
    <row r="30" spans="2:11" x14ac:dyDescent="0.3">
      <c r="B30" s="41">
        <v>20</v>
      </c>
      <c r="C30" s="41" t="s">
        <v>191</v>
      </c>
      <c r="D30" s="41" t="s">
        <v>1789</v>
      </c>
      <c r="E30" s="41">
        <v>3</v>
      </c>
      <c r="F30" s="41" t="s">
        <v>1792</v>
      </c>
    </row>
    <row r="31" spans="2:11" x14ac:dyDescent="0.3">
      <c r="B31" s="41">
        <v>21</v>
      </c>
      <c r="C31" s="41" t="s">
        <v>191</v>
      </c>
      <c r="D31" s="41" t="s">
        <v>627</v>
      </c>
      <c r="E31" s="41">
        <v>1</v>
      </c>
      <c r="F31" s="41" t="s">
        <v>1793</v>
      </c>
    </row>
    <row r="32" spans="2:11" x14ac:dyDescent="0.3">
      <c r="B32" s="41">
        <v>22</v>
      </c>
      <c r="C32" s="41" t="s">
        <v>191</v>
      </c>
      <c r="D32" s="41" t="s">
        <v>627</v>
      </c>
      <c r="E32" s="41">
        <v>2</v>
      </c>
      <c r="F32" s="41" t="s">
        <v>1794</v>
      </c>
    </row>
    <row r="33" spans="2:6" x14ac:dyDescent="0.3">
      <c r="B33" s="41">
        <v>23</v>
      </c>
      <c r="C33" s="41" t="s">
        <v>191</v>
      </c>
      <c r="D33" s="41" t="s">
        <v>627</v>
      </c>
      <c r="E33" s="41">
        <v>3</v>
      </c>
      <c r="F33" s="41" t="s">
        <v>1795</v>
      </c>
    </row>
    <row r="34" spans="2:6" x14ac:dyDescent="0.3">
      <c r="B34" s="41">
        <v>24</v>
      </c>
      <c r="C34" s="41" t="s">
        <v>191</v>
      </c>
      <c r="D34" s="41" t="s">
        <v>1796</v>
      </c>
      <c r="E34" s="41">
        <v>1</v>
      </c>
      <c r="F34" s="41" t="s">
        <v>1797</v>
      </c>
    </row>
    <row r="35" spans="2:6" x14ac:dyDescent="0.3">
      <c r="B35" s="41">
        <v>25</v>
      </c>
      <c r="C35" s="41" t="s">
        <v>191</v>
      </c>
      <c r="D35" s="41" t="s">
        <v>1796</v>
      </c>
      <c r="E35" s="41">
        <v>2</v>
      </c>
      <c r="F35" s="41" t="s">
        <v>1798</v>
      </c>
    </row>
    <row r="36" spans="2:6" x14ac:dyDescent="0.3">
      <c r="B36" s="41">
        <v>26</v>
      </c>
      <c r="C36" s="41" t="s">
        <v>191</v>
      </c>
      <c r="D36" s="41" t="s">
        <v>1796</v>
      </c>
      <c r="E36" s="41">
        <v>3</v>
      </c>
      <c r="F36" s="41" t="s">
        <v>1799</v>
      </c>
    </row>
  </sheetData>
  <pageMargins left="0.25" right="0.25" top="0.75" bottom="0.75" header="0.3" footer="0.3"/>
  <pageSetup paperSize="9" scale="96" fitToHeight="0" orientation="landscape" horizontalDpi="300" verticalDpi="300" r:id="rId1"/>
  <headerFooter>
    <oddFooter>&amp;LPulse Oximetry allocation&amp;C&amp;A&amp;R&amp;P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2" tint="-0.249977111117893"/>
    <pageSetUpPr fitToPage="1"/>
  </sheetPr>
  <dimension ref="B2:F43"/>
  <sheetViews>
    <sheetView showGridLines="0" view="pageLayout" topLeftCell="A9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31.88671875" customWidth="1"/>
    <col min="3" max="3" width="25.5546875" customWidth="1"/>
    <col min="4" max="4" width="42.5546875" customWidth="1"/>
    <col min="5" max="5" width="8.88671875" customWidth="1"/>
    <col min="6" max="6" width="8.109375" customWidth="1"/>
  </cols>
  <sheetData>
    <row r="2" spans="2:6" ht="23.25" customHeight="1" x14ac:dyDescent="0.45">
      <c r="B2" s="242" t="s">
        <v>1800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1801</v>
      </c>
      <c r="C4" s="22">
        <v>23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18</v>
      </c>
      <c r="D8" s="38" t="s">
        <v>1802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41">
        <v>1</v>
      </c>
      <c r="C11" s="42" t="s">
        <v>1803</v>
      </c>
      <c r="D11" s="27">
        <v>3</v>
      </c>
    </row>
    <row r="12" spans="2:6" x14ac:dyDescent="0.3">
      <c r="B12" s="41">
        <v>2</v>
      </c>
      <c r="C12" s="41" t="s">
        <v>1804</v>
      </c>
      <c r="D12" s="24">
        <v>3</v>
      </c>
    </row>
    <row r="13" spans="2:6" x14ac:dyDescent="0.3">
      <c r="B13" s="12">
        <v>3</v>
      </c>
      <c r="C13" s="12" t="s">
        <v>1805</v>
      </c>
      <c r="D13" s="12">
        <v>3</v>
      </c>
      <c r="E13" s="162" t="s">
        <v>216</v>
      </c>
      <c r="F13" s="12" t="s">
        <v>217</v>
      </c>
    </row>
    <row r="14" spans="2:6" x14ac:dyDescent="0.3">
      <c r="B14" s="41">
        <v>4</v>
      </c>
      <c r="C14" s="41" t="s">
        <v>1806</v>
      </c>
      <c r="D14" s="24">
        <v>3</v>
      </c>
    </row>
    <row r="15" spans="2:6" x14ac:dyDescent="0.3">
      <c r="B15" s="41">
        <v>5</v>
      </c>
      <c r="C15" s="41" t="s">
        <v>1807</v>
      </c>
      <c r="D15" s="24">
        <v>5</v>
      </c>
    </row>
    <row r="16" spans="2:6" x14ac:dyDescent="0.3">
      <c r="B16" s="41">
        <v>6</v>
      </c>
      <c r="C16" s="41" t="s">
        <v>1808</v>
      </c>
      <c r="D16" s="24">
        <v>3</v>
      </c>
    </row>
    <row r="17" spans="2:6" x14ac:dyDescent="0.3">
      <c r="B17" s="41">
        <v>7</v>
      </c>
      <c r="C17" s="41" t="s">
        <v>1809</v>
      </c>
      <c r="D17" s="24">
        <v>3</v>
      </c>
    </row>
    <row r="18" spans="2:6" x14ac:dyDescent="0.3">
      <c r="B18" s="41"/>
      <c r="C18" s="42" t="s">
        <v>150</v>
      </c>
      <c r="D18" s="27">
        <f>SUM(D11:D17)</f>
        <v>23</v>
      </c>
    </row>
    <row r="20" spans="2:6" x14ac:dyDescent="0.3">
      <c r="B20" s="7" t="s">
        <v>197</v>
      </c>
      <c r="C20" s="7" t="s">
        <v>151</v>
      </c>
      <c r="D20" s="7" t="s">
        <v>215</v>
      </c>
      <c r="E20" s="7" t="s">
        <v>216</v>
      </c>
      <c r="F20" s="7" t="s">
        <v>217</v>
      </c>
    </row>
    <row r="21" spans="2:6" x14ac:dyDescent="0.3">
      <c r="B21" s="41">
        <v>1</v>
      </c>
      <c r="C21" s="41" t="s">
        <v>192</v>
      </c>
      <c r="D21" s="41" t="s">
        <v>1803</v>
      </c>
      <c r="E21" s="41">
        <v>1</v>
      </c>
      <c r="F21" s="41" t="s">
        <v>1810</v>
      </c>
    </row>
    <row r="22" spans="2:6" x14ac:dyDescent="0.3">
      <c r="B22" s="41">
        <v>2</v>
      </c>
      <c r="C22" s="41" t="s">
        <v>192</v>
      </c>
      <c r="D22" s="41" t="s">
        <v>1803</v>
      </c>
      <c r="E22" s="41">
        <v>2</v>
      </c>
      <c r="F22" s="41" t="s">
        <v>1811</v>
      </c>
    </row>
    <row r="23" spans="2:6" x14ac:dyDescent="0.3">
      <c r="B23" s="41">
        <v>3</v>
      </c>
      <c r="C23" s="41" t="s">
        <v>192</v>
      </c>
      <c r="D23" s="41" t="s">
        <v>1803</v>
      </c>
      <c r="E23" s="41">
        <v>3</v>
      </c>
      <c r="F23" s="41" t="s">
        <v>1812</v>
      </c>
    </row>
    <row r="24" spans="2:6" x14ac:dyDescent="0.3">
      <c r="B24" s="41">
        <v>4</v>
      </c>
      <c r="C24" s="41" t="s">
        <v>192</v>
      </c>
      <c r="D24" s="41" t="s">
        <v>1804</v>
      </c>
      <c r="E24" s="41">
        <v>1</v>
      </c>
      <c r="F24" s="41" t="s">
        <v>1813</v>
      </c>
    </row>
    <row r="25" spans="2:6" x14ac:dyDescent="0.3">
      <c r="B25" s="41">
        <v>5</v>
      </c>
      <c r="C25" s="41" t="s">
        <v>192</v>
      </c>
      <c r="D25" s="41" t="s">
        <v>1804</v>
      </c>
      <c r="E25" s="41">
        <v>2</v>
      </c>
      <c r="F25" s="41" t="s">
        <v>1814</v>
      </c>
    </row>
    <row r="26" spans="2:6" x14ac:dyDescent="0.3">
      <c r="B26" s="41">
        <v>6</v>
      </c>
      <c r="C26" s="41" t="s">
        <v>192</v>
      </c>
      <c r="D26" s="41" t="s">
        <v>1804</v>
      </c>
      <c r="E26" s="41">
        <v>3</v>
      </c>
      <c r="F26" s="41" t="s">
        <v>1815</v>
      </c>
    </row>
    <row r="27" spans="2:6" x14ac:dyDescent="0.3">
      <c r="B27" s="41">
        <v>7</v>
      </c>
      <c r="C27" s="41" t="s">
        <v>192</v>
      </c>
      <c r="D27" s="41" t="s">
        <v>1805</v>
      </c>
      <c r="E27" s="41">
        <v>1</v>
      </c>
      <c r="F27" s="41" t="s">
        <v>1816</v>
      </c>
    </row>
    <row r="28" spans="2:6" x14ac:dyDescent="0.3">
      <c r="B28" s="41">
        <v>8</v>
      </c>
      <c r="C28" s="41" t="s">
        <v>192</v>
      </c>
      <c r="D28" s="41" t="s">
        <v>1805</v>
      </c>
      <c r="E28" s="41">
        <v>2</v>
      </c>
      <c r="F28" s="41" t="s">
        <v>1817</v>
      </c>
    </row>
    <row r="29" spans="2:6" x14ac:dyDescent="0.3">
      <c r="B29" s="41">
        <v>9</v>
      </c>
      <c r="C29" s="41" t="s">
        <v>192</v>
      </c>
      <c r="D29" s="41" t="s">
        <v>1805</v>
      </c>
      <c r="E29" s="41">
        <v>3</v>
      </c>
      <c r="F29" s="41" t="s">
        <v>1818</v>
      </c>
    </row>
    <row r="30" spans="2:6" x14ac:dyDescent="0.3">
      <c r="B30" s="41">
        <v>10</v>
      </c>
      <c r="C30" s="41" t="s">
        <v>192</v>
      </c>
      <c r="D30" s="41" t="s">
        <v>1806</v>
      </c>
      <c r="E30" s="41">
        <v>1</v>
      </c>
      <c r="F30" s="41" t="s">
        <v>1819</v>
      </c>
    </row>
    <row r="31" spans="2:6" x14ac:dyDescent="0.3">
      <c r="B31" s="41">
        <v>11</v>
      </c>
      <c r="C31" s="41" t="s">
        <v>192</v>
      </c>
      <c r="D31" s="41" t="s">
        <v>1806</v>
      </c>
      <c r="E31" s="41">
        <v>2</v>
      </c>
      <c r="F31" s="41" t="s">
        <v>1820</v>
      </c>
    </row>
    <row r="32" spans="2:6" x14ac:dyDescent="0.3">
      <c r="B32" s="41">
        <v>12</v>
      </c>
      <c r="C32" s="41" t="s">
        <v>192</v>
      </c>
      <c r="D32" s="41" t="s">
        <v>1806</v>
      </c>
      <c r="E32" s="41">
        <v>3</v>
      </c>
      <c r="F32" s="41" t="s">
        <v>1821</v>
      </c>
    </row>
    <row r="33" spans="2:6" x14ac:dyDescent="0.3">
      <c r="B33" s="41">
        <v>13</v>
      </c>
      <c r="C33" s="41" t="s">
        <v>192</v>
      </c>
      <c r="D33" s="41" t="s">
        <v>1807</v>
      </c>
      <c r="E33" s="41">
        <v>1</v>
      </c>
      <c r="F33" s="41" t="s">
        <v>1822</v>
      </c>
    </row>
    <row r="34" spans="2:6" x14ac:dyDescent="0.3">
      <c r="B34" s="41">
        <v>14</v>
      </c>
      <c r="C34" s="41" t="s">
        <v>192</v>
      </c>
      <c r="D34" s="41" t="s">
        <v>1807</v>
      </c>
      <c r="E34" s="41">
        <v>2</v>
      </c>
      <c r="F34" s="41" t="s">
        <v>1823</v>
      </c>
    </row>
    <row r="35" spans="2:6" x14ac:dyDescent="0.3">
      <c r="B35" s="41">
        <v>15</v>
      </c>
      <c r="C35" s="41" t="s">
        <v>192</v>
      </c>
      <c r="D35" s="41" t="s">
        <v>1807</v>
      </c>
      <c r="E35" s="41">
        <v>3</v>
      </c>
      <c r="F35" s="41" t="s">
        <v>1824</v>
      </c>
    </row>
    <row r="36" spans="2:6" x14ac:dyDescent="0.3">
      <c r="B36" s="41">
        <v>16</v>
      </c>
      <c r="C36" s="41" t="s">
        <v>192</v>
      </c>
      <c r="D36" s="41" t="s">
        <v>1807</v>
      </c>
      <c r="E36" s="41">
        <v>4</v>
      </c>
      <c r="F36" s="41" t="s">
        <v>1825</v>
      </c>
    </row>
    <row r="37" spans="2:6" x14ac:dyDescent="0.3">
      <c r="B37" s="41">
        <v>17</v>
      </c>
      <c r="C37" s="41" t="s">
        <v>192</v>
      </c>
      <c r="D37" s="41" t="s">
        <v>1807</v>
      </c>
      <c r="E37" s="41">
        <v>5</v>
      </c>
      <c r="F37" s="41" t="s">
        <v>1826</v>
      </c>
    </row>
    <row r="38" spans="2:6" x14ac:dyDescent="0.3">
      <c r="B38" s="41">
        <v>18</v>
      </c>
      <c r="C38" s="41" t="s">
        <v>192</v>
      </c>
      <c r="D38" s="41" t="s">
        <v>1808</v>
      </c>
      <c r="E38" s="41">
        <v>1</v>
      </c>
      <c r="F38" s="41" t="s">
        <v>1827</v>
      </c>
    </row>
    <row r="39" spans="2:6" x14ac:dyDescent="0.3">
      <c r="B39" s="41">
        <v>19</v>
      </c>
      <c r="C39" s="41" t="s">
        <v>192</v>
      </c>
      <c r="D39" s="41" t="s">
        <v>1808</v>
      </c>
      <c r="E39" s="41">
        <v>2</v>
      </c>
      <c r="F39" s="41" t="s">
        <v>1828</v>
      </c>
    </row>
    <row r="40" spans="2:6" x14ac:dyDescent="0.3">
      <c r="B40" s="41">
        <v>20</v>
      </c>
      <c r="C40" s="41" t="s">
        <v>192</v>
      </c>
      <c r="D40" s="41" t="s">
        <v>1808</v>
      </c>
      <c r="E40" s="41">
        <v>3</v>
      </c>
      <c r="F40" s="41" t="s">
        <v>1829</v>
      </c>
    </row>
    <row r="41" spans="2:6" x14ac:dyDescent="0.3">
      <c r="B41" s="41">
        <v>21</v>
      </c>
      <c r="C41" s="41" t="s">
        <v>192</v>
      </c>
      <c r="D41" s="41" t="s">
        <v>1809</v>
      </c>
      <c r="E41" s="41">
        <v>1</v>
      </c>
      <c r="F41" s="41" t="s">
        <v>1830</v>
      </c>
    </row>
    <row r="42" spans="2:6" x14ac:dyDescent="0.3">
      <c r="B42" s="41">
        <v>22</v>
      </c>
      <c r="C42" s="41" t="s">
        <v>192</v>
      </c>
      <c r="D42" s="41" t="s">
        <v>1809</v>
      </c>
      <c r="E42" s="41">
        <v>2</v>
      </c>
      <c r="F42" s="41" t="s">
        <v>1831</v>
      </c>
    </row>
    <row r="43" spans="2:6" x14ac:dyDescent="0.3">
      <c r="B43" s="41">
        <v>23</v>
      </c>
      <c r="C43" s="41" t="s">
        <v>192</v>
      </c>
      <c r="D43" s="41" t="s">
        <v>1809</v>
      </c>
      <c r="E43" s="41">
        <v>3</v>
      </c>
      <c r="F43" s="41" t="s">
        <v>1832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2" tint="-0.249977111117893"/>
    <pageSetUpPr fitToPage="1"/>
  </sheetPr>
  <dimension ref="A1:F53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2" max="2" width="16.6640625" customWidth="1"/>
    <col min="3" max="3" width="27.44140625" customWidth="1"/>
    <col min="4" max="4" width="29.88671875" customWidth="1"/>
    <col min="5" max="5" width="19.44140625" customWidth="1"/>
    <col min="6" max="6" width="12.5546875" customWidth="1"/>
  </cols>
  <sheetData>
    <row r="1" spans="1:6" x14ac:dyDescent="0.3">
      <c r="A1" s="3"/>
      <c r="B1" s="3"/>
      <c r="C1" s="3"/>
      <c r="D1" s="3"/>
      <c r="E1" s="3"/>
      <c r="F1" s="3"/>
    </row>
    <row r="2" spans="1:6" ht="23.25" customHeight="1" x14ac:dyDescent="0.45">
      <c r="A2" s="3"/>
      <c r="B2" s="99" t="s">
        <v>1833</v>
      </c>
      <c r="C2" s="99"/>
      <c r="D2" s="99"/>
      <c r="E2" s="99"/>
      <c r="F2" s="99"/>
    </row>
    <row r="3" spans="1:6" x14ac:dyDescent="0.3">
      <c r="A3" s="3"/>
      <c r="B3" s="138"/>
      <c r="C3" s="200"/>
      <c r="D3" s="138"/>
      <c r="E3" s="138"/>
      <c r="F3" s="138"/>
    </row>
    <row r="4" spans="1:6" ht="16.5" customHeight="1" x14ac:dyDescent="0.35">
      <c r="A4" s="3"/>
      <c r="B4" s="163" t="s">
        <v>1834</v>
      </c>
      <c r="C4" s="22">
        <f>D19</f>
        <v>31</v>
      </c>
      <c r="D4" s="3"/>
      <c r="E4" s="3"/>
      <c r="F4" s="3"/>
    </row>
    <row r="5" spans="1:6" x14ac:dyDescent="0.3">
      <c r="A5" s="3"/>
      <c r="B5" s="118" t="s">
        <v>288</v>
      </c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164" t="s">
        <v>146</v>
      </c>
      <c r="C7" s="165">
        <v>8</v>
      </c>
      <c r="D7" s="120"/>
      <c r="E7" s="71"/>
      <c r="F7" s="3"/>
    </row>
    <row r="8" spans="1:6" x14ac:dyDescent="0.3">
      <c r="A8" s="3"/>
      <c r="B8" s="164" t="s">
        <v>147</v>
      </c>
      <c r="C8" s="166">
        <v>14</v>
      </c>
      <c r="D8" s="3"/>
      <c r="E8" s="58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3"/>
      <c r="B10" s="7" t="s">
        <v>197</v>
      </c>
      <c r="C10" s="7" t="s">
        <v>215</v>
      </c>
      <c r="D10" s="11" t="s">
        <v>290</v>
      </c>
      <c r="E10" s="120"/>
      <c r="F10" s="3"/>
    </row>
    <row r="11" spans="1:6" x14ac:dyDescent="0.3">
      <c r="A11" s="3"/>
      <c r="B11" s="17">
        <v>1</v>
      </c>
      <c r="C11" s="17" t="s">
        <v>1835</v>
      </c>
      <c r="D11" s="13">
        <v>3</v>
      </c>
      <c r="E11" s="3"/>
      <c r="F11" s="3"/>
    </row>
    <row r="12" spans="1:6" x14ac:dyDescent="0.3">
      <c r="A12" s="3"/>
      <c r="B12" s="17">
        <v>2</v>
      </c>
      <c r="C12" s="17" t="s">
        <v>1836</v>
      </c>
      <c r="D12" s="13">
        <v>3</v>
      </c>
      <c r="E12" s="3"/>
      <c r="F12" s="3"/>
    </row>
    <row r="13" spans="1:6" x14ac:dyDescent="0.3">
      <c r="A13" s="3"/>
      <c r="B13" s="17">
        <v>3</v>
      </c>
      <c r="C13" s="17" t="s">
        <v>1837</v>
      </c>
      <c r="D13" s="13">
        <v>9</v>
      </c>
      <c r="E13" s="3"/>
      <c r="F13" s="3"/>
    </row>
    <row r="14" spans="1:6" x14ac:dyDescent="0.3">
      <c r="A14" s="3"/>
      <c r="B14" s="17">
        <v>4</v>
      </c>
      <c r="C14" s="17" t="s">
        <v>1838</v>
      </c>
      <c r="D14" s="13">
        <v>3</v>
      </c>
      <c r="E14" s="3"/>
      <c r="F14" s="3"/>
    </row>
    <row r="15" spans="1:6" x14ac:dyDescent="0.3">
      <c r="A15" s="3"/>
      <c r="B15" s="17">
        <v>5</v>
      </c>
      <c r="C15" s="17" t="s">
        <v>1839</v>
      </c>
      <c r="D15" s="13">
        <v>5</v>
      </c>
      <c r="E15" s="3"/>
      <c r="F15" s="3"/>
    </row>
    <row r="16" spans="1:6" x14ac:dyDescent="0.3">
      <c r="A16" s="3"/>
      <c r="B16" s="17">
        <v>6</v>
      </c>
      <c r="C16" s="17" t="s">
        <v>1840</v>
      </c>
      <c r="D16" s="13">
        <v>3</v>
      </c>
      <c r="E16" s="3"/>
      <c r="F16" s="3"/>
    </row>
    <row r="17" spans="1:6" x14ac:dyDescent="0.3">
      <c r="A17" s="3"/>
      <c r="B17" s="17">
        <v>7</v>
      </c>
      <c r="C17" s="17" t="s">
        <v>1841</v>
      </c>
      <c r="D17" s="13">
        <v>3</v>
      </c>
      <c r="E17" s="3"/>
      <c r="F17" s="3"/>
    </row>
    <row r="18" spans="1:6" x14ac:dyDescent="0.3">
      <c r="A18" s="3"/>
      <c r="B18" s="17">
        <v>8</v>
      </c>
      <c r="C18" s="8" t="s">
        <v>1842</v>
      </c>
      <c r="D18" s="9">
        <v>2</v>
      </c>
      <c r="E18" s="3"/>
      <c r="F18" s="3"/>
    </row>
    <row r="19" spans="1:6" x14ac:dyDescent="0.3">
      <c r="A19" s="3"/>
      <c r="B19" s="123"/>
      <c r="C19" s="141" t="s">
        <v>150</v>
      </c>
      <c r="D19" s="142">
        <f>SUM(D11:D18)</f>
        <v>31</v>
      </c>
      <c r="E19" s="3"/>
      <c r="F19" s="3"/>
    </row>
    <row r="20" spans="1:6" x14ac:dyDescent="0.3">
      <c r="A20" s="3"/>
      <c r="B20" s="3"/>
      <c r="C20" s="123"/>
      <c r="D20" s="123"/>
      <c r="E20" s="3"/>
      <c r="F20" s="3"/>
    </row>
    <row r="21" spans="1:6" x14ac:dyDescent="0.3">
      <c r="A21" s="3"/>
      <c r="B21" s="7" t="s">
        <v>197</v>
      </c>
      <c r="C21" s="7" t="s">
        <v>151</v>
      </c>
      <c r="D21" s="7" t="s">
        <v>215</v>
      </c>
      <c r="E21" s="7" t="s">
        <v>216</v>
      </c>
      <c r="F21" s="7" t="s">
        <v>217</v>
      </c>
    </row>
    <row r="22" spans="1:6" x14ac:dyDescent="0.3">
      <c r="A22" s="3"/>
      <c r="B22" s="17">
        <v>1</v>
      </c>
      <c r="C22" s="17" t="s">
        <v>193</v>
      </c>
      <c r="D22" s="17" t="s">
        <v>1835</v>
      </c>
      <c r="E22" s="13">
        <v>1</v>
      </c>
      <c r="F22" s="13" t="s">
        <v>1843</v>
      </c>
    </row>
    <row r="23" spans="1:6" x14ac:dyDescent="0.3">
      <c r="A23" s="3"/>
      <c r="B23" s="17">
        <v>2</v>
      </c>
      <c r="C23" s="17" t="s">
        <v>193</v>
      </c>
      <c r="D23" s="17" t="s">
        <v>1835</v>
      </c>
      <c r="E23" s="13">
        <v>2</v>
      </c>
      <c r="F23" s="13" t="s">
        <v>1844</v>
      </c>
    </row>
    <row r="24" spans="1:6" x14ac:dyDescent="0.3">
      <c r="A24" s="3"/>
      <c r="B24" s="17">
        <v>3</v>
      </c>
      <c r="C24" s="17" t="s">
        <v>193</v>
      </c>
      <c r="D24" s="17" t="s">
        <v>1835</v>
      </c>
      <c r="E24" s="13">
        <v>3</v>
      </c>
      <c r="F24" s="13" t="s">
        <v>1845</v>
      </c>
    </row>
    <row r="25" spans="1:6" x14ac:dyDescent="0.3">
      <c r="A25" s="3"/>
      <c r="B25" s="17">
        <v>4</v>
      </c>
      <c r="C25" s="17" t="s">
        <v>193</v>
      </c>
      <c r="D25" s="17" t="s">
        <v>1836</v>
      </c>
      <c r="E25" s="13">
        <v>1</v>
      </c>
      <c r="F25" s="13" t="s">
        <v>1846</v>
      </c>
    </row>
    <row r="26" spans="1:6" x14ac:dyDescent="0.3">
      <c r="A26" s="3"/>
      <c r="B26" s="17">
        <v>5</v>
      </c>
      <c r="C26" s="17" t="s">
        <v>193</v>
      </c>
      <c r="D26" s="17" t="s">
        <v>1836</v>
      </c>
      <c r="E26" s="13">
        <v>2</v>
      </c>
      <c r="F26" s="13" t="s">
        <v>1847</v>
      </c>
    </row>
    <row r="27" spans="1:6" x14ac:dyDescent="0.3">
      <c r="A27" s="3"/>
      <c r="B27" s="17">
        <v>6</v>
      </c>
      <c r="C27" s="17" t="s">
        <v>193</v>
      </c>
      <c r="D27" s="17" t="s">
        <v>1836</v>
      </c>
      <c r="E27" s="13">
        <v>3</v>
      </c>
      <c r="F27" s="13" t="s">
        <v>1848</v>
      </c>
    </row>
    <row r="28" spans="1:6" x14ac:dyDescent="0.3">
      <c r="A28" s="3"/>
      <c r="B28" s="17">
        <v>7</v>
      </c>
      <c r="C28" s="17" t="s">
        <v>193</v>
      </c>
      <c r="D28" s="17" t="s">
        <v>1839</v>
      </c>
      <c r="E28" s="13">
        <v>1</v>
      </c>
      <c r="F28" s="13" t="s">
        <v>1849</v>
      </c>
    </row>
    <row r="29" spans="1:6" x14ac:dyDescent="0.3">
      <c r="A29" s="3"/>
      <c r="B29" s="17">
        <v>8</v>
      </c>
      <c r="C29" s="17" t="s">
        <v>193</v>
      </c>
      <c r="D29" s="17" t="s">
        <v>1839</v>
      </c>
      <c r="E29" s="13">
        <v>2</v>
      </c>
      <c r="F29" s="13" t="s">
        <v>1850</v>
      </c>
    </row>
    <row r="30" spans="1:6" x14ac:dyDescent="0.3">
      <c r="A30" s="3"/>
      <c r="B30" s="17">
        <v>9</v>
      </c>
      <c r="C30" s="17" t="s">
        <v>193</v>
      </c>
      <c r="D30" s="17" t="s">
        <v>1839</v>
      </c>
      <c r="E30" s="13">
        <v>3</v>
      </c>
      <c r="F30" s="13" t="s">
        <v>1851</v>
      </c>
    </row>
    <row r="31" spans="1:6" x14ac:dyDescent="0.3">
      <c r="A31" s="3"/>
      <c r="B31" s="17">
        <v>10</v>
      </c>
      <c r="C31" s="17" t="s">
        <v>193</v>
      </c>
      <c r="D31" s="17" t="s">
        <v>1839</v>
      </c>
      <c r="E31" s="13">
        <v>4</v>
      </c>
      <c r="F31" s="13" t="s">
        <v>1852</v>
      </c>
    </row>
    <row r="32" spans="1:6" x14ac:dyDescent="0.3">
      <c r="A32" s="3"/>
      <c r="B32" s="17">
        <v>11</v>
      </c>
      <c r="C32" s="17" t="s">
        <v>193</v>
      </c>
      <c r="D32" s="17" t="s">
        <v>1839</v>
      </c>
      <c r="E32" s="13">
        <v>5</v>
      </c>
      <c r="F32" s="13" t="s">
        <v>1853</v>
      </c>
    </row>
    <row r="33" spans="1:6" x14ac:dyDescent="0.3">
      <c r="A33" s="3"/>
      <c r="B33" s="17">
        <v>12</v>
      </c>
      <c r="C33" s="17" t="s">
        <v>193</v>
      </c>
      <c r="D33" s="17" t="s">
        <v>1838</v>
      </c>
      <c r="E33" s="13">
        <v>1</v>
      </c>
      <c r="F33" s="13" t="s">
        <v>1854</v>
      </c>
    </row>
    <row r="34" spans="1:6" x14ac:dyDescent="0.3">
      <c r="A34" s="3"/>
      <c r="B34" s="17">
        <v>13</v>
      </c>
      <c r="C34" s="17" t="s">
        <v>193</v>
      </c>
      <c r="D34" s="17" t="s">
        <v>1838</v>
      </c>
      <c r="E34" s="13">
        <v>2</v>
      </c>
      <c r="F34" s="13" t="s">
        <v>1855</v>
      </c>
    </row>
    <row r="35" spans="1:6" x14ac:dyDescent="0.3">
      <c r="A35" s="3"/>
      <c r="B35" s="17">
        <v>14</v>
      </c>
      <c r="C35" s="17" t="s">
        <v>193</v>
      </c>
      <c r="D35" s="17" t="s">
        <v>1838</v>
      </c>
      <c r="E35" s="13">
        <v>3</v>
      </c>
      <c r="F35" s="13" t="s">
        <v>1856</v>
      </c>
    </row>
    <row r="36" spans="1:6" x14ac:dyDescent="0.3">
      <c r="A36" s="3"/>
      <c r="B36" s="17">
        <v>15</v>
      </c>
      <c r="C36" s="17" t="s">
        <v>193</v>
      </c>
      <c r="D36" s="17" t="s">
        <v>1840</v>
      </c>
      <c r="E36" s="13">
        <v>1</v>
      </c>
      <c r="F36" s="13" t="s">
        <v>1857</v>
      </c>
    </row>
    <row r="37" spans="1:6" x14ac:dyDescent="0.3">
      <c r="A37" s="3"/>
      <c r="B37" s="17">
        <v>16</v>
      </c>
      <c r="C37" s="17" t="s">
        <v>193</v>
      </c>
      <c r="D37" s="17" t="s">
        <v>1840</v>
      </c>
      <c r="E37" s="13">
        <v>2</v>
      </c>
      <c r="F37" s="13" t="s">
        <v>1858</v>
      </c>
    </row>
    <row r="38" spans="1:6" x14ac:dyDescent="0.3">
      <c r="A38" s="3"/>
      <c r="B38" s="17">
        <v>17</v>
      </c>
      <c r="C38" s="17" t="s">
        <v>193</v>
      </c>
      <c r="D38" s="17" t="s">
        <v>1840</v>
      </c>
      <c r="E38" s="13">
        <v>3</v>
      </c>
      <c r="F38" s="13" t="s">
        <v>1859</v>
      </c>
    </row>
    <row r="39" spans="1:6" x14ac:dyDescent="0.3">
      <c r="A39" s="3"/>
      <c r="B39" s="17">
        <v>18</v>
      </c>
      <c r="C39" s="17" t="s">
        <v>193</v>
      </c>
      <c r="D39" s="17" t="s">
        <v>1841</v>
      </c>
      <c r="E39" s="13">
        <v>1</v>
      </c>
      <c r="F39" s="13" t="s">
        <v>1860</v>
      </c>
    </row>
    <row r="40" spans="1:6" x14ac:dyDescent="0.3">
      <c r="A40" s="3"/>
      <c r="B40" s="17">
        <v>19</v>
      </c>
      <c r="C40" s="17" t="s">
        <v>193</v>
      </c>
      <c r="D40" s="17" t="s">
        <v>1841</v>
      </c>
      <c r="E40" s="13">
        <v>2</v>
      </c>
      <c r="F40" s="13" t="s">
        <v>1861</v>
      </c>
    </row>
    <row r="41" spans="1:6" x14ac:dyDescent="0.3">
      <c r="A41" s="3"/>
      <c r="B41" s="17">
        <v>20</v>
      </c>
      <c r="C41" s="17" t="s">
        <v>193</v>
      </c>
      <c r="D41" s="17" t="s">
        <v>1841</v>
      </c>
      <c r="E41" s="13">
        <v>3</v>
      </c>
      <c r="F41" s="13" t="s">
        <v>1862</v>
      </c>
    </row>
    <row r="42" spans="1:6" x14ac:dyDescent="0.3">
      <c r="A42" s="3"/>
      <c r="B42" s="17">
        <v>21</v>
      </c>
      <c r="C42" s="17" t="s">
        <v>193</v>
      </c>
      <c r="D42" s="17" t="s">
        <v>1842</v>
      </c>
      <c r="E42" s="13">
        <v>1</v>
      </c>
      <c r="F42" s="13" t="s">
        <v>1863</v>
      </c>
    </row>
    <row r="43" spans="1:6" x14ac:dyDescent="0.3">
      <c r="A43" s="3"/>
      <c r="B43" s="17">
        <v>22</v>
      </c>
      <c r="C43" s="17" t="s">
        <v>193</v>
      </c>
      <c r="D43" s="17" t="s">
        <v>1842</v>
      </c>
      <c r="E43" s="13">
        <v>2</v>
      </c>
      <c r="F43" s="13" t="s">
        <v>1864</v>
      </c>
    </row>
    <row r="44" spans="1:6" x14ac:dyDescent="0.3">
      <c r="A44" s="3"/>
      <c r="B44" s="17">
        <v>23</v>
      </c>
      <c r="C44" s="17" t="s">
        <v>193</v>
      </c>
      <c r="D44" s="17" t="s">
        <v>1837</v>
      </c>
      <c r="E44" s="13">
        <v>1</v>
      </c>
      <c r="F44" s="13" t="s">
        <v>1865</v>
      </c>
    </row>
    <row r="45" spans="1:6" x14ac:dyDescent="0.3">
      <c r="A45" s="3"/>
      <c r="B45" s="17">
        <v>24</v>
      </c>
      <c r="C45" s="17" t="s">
        <v>193</v>
      </c>
      <c r="D45" s="17" t="s">
        <v>1837</v>
      </c>
      <c r="E45" s="13">
        <v>2</v>
      </c>
      <c r="F45" s="13" t="s">
        <v>1866</v>
      </c>
    </row>
    <row r="46" spans="1:6" x14ac:dyDescent="0.3">
      <c r="A46" s="3"/>
      <c r="B46" s="17">
        <v>25</v>
      </c>
      <c r="C46" s="17" t="s">
        <v>193</v>
      </c>
      <c r="D46" s="17" t="s">
        <v>1837</v>
      </c>
      <c r="E46" s="13">
        <v>3</v>
      </c>
      <c r="F46" s="13" t="s">
        <v>1867</v>
      </c>
    </row>
    <row r="47" spans="1:6" x14ac:dyDescent="0.3">
      <c r="A47" s="3"/>
      <c r="B47" s="17">
        <v>26</v>
      </c>
      <c r="C47" s="17" t="s">
        <v>193</v>
      </c>
      <c r="D47" s="17" t="s">
        <v>1837</v>
      </c>
      <c r="E47" s="13">
        <v>4</v>
      </c>
      <c r="F47" s="13" t="s">
        <v>1868</v>
      </c>
    </row>
    <row r="48" spans="1:6" x14ac:dyDescent="0.3">
      <c r="A48" s="3"/>
      <c r="B48" s="17">
        <v>27</v>
      </c>
      <c r="C48" s="17" t="s">
        <v>193</v>
      </c>
      <c r="D48" s="17" t="s">
        <v>1837</v>
      </c>
      <c r="E48" s="13">
        <v>5</v>
      </c>
      <c r="F48" s="13" t="s">
        <v>1869</v>
      </c>
    </row>
    <row r="49" spans="1:6" x14ac:dyDescent="0.3">
      <c r="A49" s="3"/>
      <c r="B49" s="17">
        <v>28</v>
      </c>
      <c r="C49" s="17" t="s">
        <v>193</v>
      </c>
      <c r="D49" s="17" t="s">
        <v>1837</v>
      </c>
      <c r="E49" s="13">
        <v>6</v>
      </c>
      <c r="F49" s="13" t="s">
        <v>1870</v>
      </c>
    </row>
    <row r="50" spans="1:6" x14ac:dyDescent="0.3">
      <c r="A50" s="3"/>
      <c r="B50" s="17">
        <v>29</v>
      </c>
      <c r="C50" s="17" t="s">
        <v>193</v>
      </c>
      <c r="D50" s="17" t="s">
        <v>1837</v>
      </c>
      <c r="E50" s="13">
        <v>7</v>
      </c>
      <c r="F50" s="13" t="s">
        <v>1871</v>
      </c>
    </row>
    <row r="51" spans="1:6" x14ac:dyDescent="0.3">
      <c r="A51" s="3"/>
      <c r="B51" s="17">
        <v>30</v>
      </c>
      <c r="C51" s="17" t="s">
        <v>193</v>
      </c>
      <c r="D51" s="17" t="s">
        <v>1837</v>
      </c>
      <c r="E51" s="13">
        <v>8</v>
      </c>
      <c r="F51" s="13" t="s">
        <v>1872</v>
      </c>
    </row>
    <row r="52" spans="1:6" x14ac:dyDescent="0.3">
      <c r="A52" s="3"/>
      <c r="B52" s="17">
        <v>31</v>
      </c>
      <c r="C52" s="17" t="s">
        <v>193</v>
      </c>
      <c r="D52" s="17" t="s">
        <v>1837</v>
      </c>
      <c r="E52" s="13">
        <v>9</v>
      </c>
      <c r="F52" s="13" t="s">
        <v>1873</v>
      </c>
    </row>
    <row r="53" spans="1:6" x14ac:dyDescent="0.3">
      <c r="A53" s="3"/>
      <c r="B53" s="3"/>
      <c r="C53" s="3"/>
      <c r="D53" s="3"/>
      <c r="E53" s="3"/>
      <c r="F53" s="3"/>
    </row>
  </sheetData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2" tint="-0.249977111117893"/>
    <pageSetUpPr fitToPage="1"/>
  </sheetPr>
  <dimension ref="B3:I30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3" max="3" width="5.44140625" customWidth="1"/>
    <col min="4" max="4" width="23.109375" customWidth="1"/>
    <col min="6" max="6" width="25.44140625" customWidth="1"/>
    <col min="8" max="8" width="26" customWidth="1"/>
  </cols>
  <sheetData>
    <row r="3" spans="2:9" ht="15.75" customHeight="1" x14ac:dyDescent="0.3">
      <c r="B3" s="48" t="s">
        <v>1874</v>
      </c>
      <c r="C3" s="199"/>
      <c r="D3" s="161">
        <f>COUNTA(F12:F30)</f>
        <v>19</v>
      </c>
    </row>
    <row r="4" spans="2:9" x14ac:dyDescent="0.3">
      <c r="B4" s="49" t="s">
        <v>288</v>
      </c>
    </row>
    <row r="6" spans="2:9" x14ac:dyDescent="0.3">
      <c r="B6" s="50" t="s">
        <v>146</v>
      </c>
      <c r="C6" s="36"/>
      <c r="D6" s="51">
        <f t="array" ref="D6">SUMPRODUCT((D12:D26="Vihiga County Referral Hospital")*1)</f>
        <v>5</v>
      </c>
      <c r="E6" s="52"/>
    </row>
    <row r="7" spans="2:9" x14ac:dyDescent="0.3">
      <c r="B7" s="50" t="s">
        <v>147</v>
      </c>
      <c r="C7" s="36"/>
      <c r="D7" s="51">
        <f t="array" ref="D7">SUMPRODUCT((ISNUMBER(SEARCH("hospital",D12:D26)))*1)-D6</f>
        <v>8</v>
      </c>
      <c r="E7" s="52"/>
      <c r="F7" s="38"/>
    </row>
    <row r="8" spans="2:9" x14ac:dyDescent="0.3">
      <c r="B8" s="50" t="s">
        <v>148</v>
      </c>
      <c r="C8" s="36"/>
      <c r="D8" s="51">
        <v>2</v>
      </c>
      <c r="E8" s="52"/>
      <c r="F8" s="38"/>
    </row>
    <row r="9" spans="2:9" x14ac:dyDescent="0.3">
      <c r="B9" s="53" t="s">
        <v>149</v>
      </c>
      <c r="C9" s="44"/>
      <c r="D9" s="54">
        <v>4</v>
      </c>
      <c r="F9" s="38"/>
    </row>
    <row r="11" spans="2:9" x14ac:dyDescent="0.3">
      <c r="B11" s="167" t="s">
        <v>197</v>
      </c>
      <c r="C11" s="167" t="s">
        <v>151</v>
      </c>
      <c r="D11" s="167" t="s">
        <v>215</v>
      </c>
      <c r="E11" s="167" t="s">
        <v>216</v>
      </c>
      <c r="F11" s="167" t="s">
        <v>217</v>
      </c>
      <c r="H11" s="11" t="s">
        <v>215</v>
      </c>
      <c r="I11" s="7" t="s">
        <v>290</v>
      </c>
    </row>
    <row r="12" spans="2:9" x14ac:dyDescent="0.3">
      <c r="B12" s="168">
        <v>1</v>
      </c>
      <c r="C12" s="168" t="s">
        <v>194</v>
      </c>
      <c r="D12" s="168" t="s">
        <v>1875</v>
      </c>
      <c r="E12" s="168">
        <v>1</v>
      </c>
      <c r="F12" s="168" t="s">
        <v>1876</v>
      </c>
      <c r="H12" s="55" t="s">
        <v>1875</v>
      </c>
      <c r="I12" s="41">
        <v>2</v>
      </c>
    </row>
    <row r="13" spans="2:9" x14ac:dyDescent="0.3">
      <c r="B13" s="66">
        <v>2</v>
      </c>
      <c r="C13" s="66" t="s">
        <v>194</v>
      </c>
      <c r="D13" s="66" t="s">
        <v>1875</v>
      </c>
      <c r="E13" s="66">
        <v>2</v>
      </c>
      <c r="F13" s="66" t="s">
        <v>1877</v>
      </c>
      <c r="H13" s="41" t="s">
        <v>1878</v>
      </c>
      <c r="I13" s="41">
        <v>2</v>
      </c>
    </row>
    <row r="14" spans="2:9" x14ac:dyDescent="0.3">
      <c r="B14" s="66">
        <v>3</v>
      </c>
      <c r="C14" s="66" t="s">
        <v>194</v>
      </c>
      <c r="D14" s="66" t="s">
        <v>1878</v>
      </c>
      <c r="E14" s="66">
        <v>1</v>
      </c>
      <c r="F14" s="66" t="s">
        <v>1879</v>
      </c>
      <c r="H14" s="41" t="s">
        <v>1880</v>
      </c>
      <c r="I14" s="41">
        <v>2</v>
      </c>
    </row>
    <row r="15" spans="2:9" x14ac:dyDescent="0.3">
      <c r="B15" s="66">
        <v>4</v>
      </c>
      <c r="C15" s="66" t="s">
        <v>194</v>
      </c>
      <c r="D15" s="66" t="s">
        <v>1878</v>
      </c>
      <c r="E15" s="66">
        <v>2</v>
      </c>
      <c r="F15" s="66" t="s">
        <v>1881</v>
      </c>
      <c r="H15" s="41" t="s">
        <v>1882</v>
      </c>
      <c r="I15" s="41">
        <v>2</v>
      </c>
    </row>
    <row r="16" spans="2:9" x14ac:dyDescent="0.3">
      <c r="B16" s="66">
        <v>5</v>
      </c>
      <c r="C16" s="66" t="s">
        <v>194</v>
      </c>
      <c r="D16" s="66" t="s">
        <v>1880</v>
      </c>
      <c r="E16" s="66">
        <v>1</v>
      </c>
      <c r="F16" s="66" t="s">
        <v>1883</v>
      </c>
      <c r="H16" s="41" t="s">
        <v>1884</v>
      </c>
      <c r="I16" s="41">
        <v>2</v>
      </c>
    </row>
    <row r="17" spans="2:9" x14ac:dyDescent="0.3">
      <c r="B17" s="66">
        <v>6</v>
      </c>
      <c r="C17" s="66" t="s">
        <v>194</v>
      </c>
      <c r="D17" s="66" t="s">
        <v>1880</v>
      </c>
      <c r="E17" s="66">
        <v>2</v>
      </c>
      <c r="F17" s="66" t="s">
        <v>1885</v>
      </c>
      <c r="H17" s="41" t="s">
        <v>1886</v>
      </c>
      <c r="I17" s="41">
        <v>5</v>
      </c>
    </row>
    <row r="18" spans="2:9" x14ac:dyDescent="0.3">
      <c r="B18" s="66">
        <v>7</v>
      </c>
      <c r="C18" s="66" t="s">
        <v>194</v>
      </c>
      <c r="D18" s="66" t="s">
        <v>1882</v>
      </c>
      <c r="E18" s="66">
        <v>1</v>
      </c>
      <c r="F18" s="66" t="s">
        <v>1887</v>
      </c>
      <c r="H18" s="41" t="s">
        <v>1888</v>
      </c>
      <c r="I18" s="41">
        <v>4</v>
      </c>
    </row>
    <row r="19" spans="2:9" x14ac:dyDescent="0.3">
      <c r="B19" s="66">
        <v>8</v>
      </c>
      <c r="C19" s="66" t="s">
        <v>194</v>
      </c>
      <c r="D19" s="66" t="s">
        <v>1882</v>
      </c>
      <c r="E19" s="66">
        <v>2</v>
      </c>
      <c r="F19" s="66" t="s">
        <v>1889</v>
      </c>
      <c r="H19" s="42" t="s">
        <v>150</v>
      </c>
      <c r="I19" s="42">
        <f>SUM(I12:I18)</f>
        <v>19</v>
      </c>
    </row>
    <row r="20" spans="2:9" x14ac:dyDescent="0.3">
      <c r="B20" s="66">
        <v>9</v>
      </c>
      <c r="C20" s="66" t="s">
        <v>194</v>
      </c>
      <c r="D20" s="66" t="s">
        <v>1884</v>
      </c>
      <c r="E20" s="66">
        <v>1</v>
      </c>
      <c r="F20" s="66" t="s">
        <v>1890</v>
      </c>
    </row>
    <row r="21" spans="2:9" x14ac:dyDescent="0.3">
      <c r="B21" s="66">
        <v>10</v>
      </c>
      <c r="C21" s="66" t="s">
        <v>194</v>
      </c>
      <c r="D21" s="66" t="s">
        <v>1884</v>
      </c>
      <c r="E21" s="66">
        <v>2</v>
      </c>
      <c r="F21" s="66" t="s">
        <v>1891</v>
      </c>
    </row>
    <row r="22" spans="2:9" x14ac:dyDescent="0.3">
      <c r="B22" s="66">
        <v>11</v>
      </c>
      <c r="C22" s="66" t="s">
        <v>194</v>
      </c>
      <c r="D22" s="66" t="s">
        <v>1886</v>
      </c>
      <c r="E22" s="66">
        <v>1</v>
      </c>
      <c r="F22" s="66" t="s">
        <v>1892</v>
      </c>
    </row>
    <row r="23" spans="2:9" x14ac:dyDescent="0.3">
      <c r="B23" s="66">
        <v>12</v>
      </c>
      <c r="C23" s="66" t="s">
        <v>194</v>
      </c>
      <c r="D23" s="66" t="s">
        <v>1886</v>
      </c>
      <c r="E23" s="66">
        <v>2</v>
      </c>
      <c r="F23" s="66" t="s">
        <v>1893</v>
      </c>
    </row>
    <row r="24" spans="2:9" x14ac:dyDescent="0.3">
      <c r="B24" s="66">
        <v>13</v>
      </c>
      <c r="C24" s="66" t="s">
        <v>194</v>
      </c>
      <c r="D24" s="66" t="s">
        <v>1886</v>
      </c>
      <c r="E24" s="66">
        <v>3</v>
      </c>
      <c r="F24" s="66" t="s">
        <v>1894</v>
      </c>
    </row>
    <row r="25" spans="2:9" x14ac:dyDescent="0.3">
      <c r="B25" s="66">
        <v>14</v>
      </c>
      <c r="C25" s="66" t="s">
        <v>194</v>
      </c>
      <c r="D25" s="66" t="s">
        <v>1886</v>
      </c>
      <c r="E25" s="66">
        <v>4</v>
      </c>
      <c r="F25" s="66" t="s">
        <v>1895</v>
      </c>
    </row>
    <row r="26" spans="2:9" x14ac:dyDescent="0.3">
      <c r="B26" s="66">
        <v>15</v>
      </c>
      <c r="C26" s="66" t="s">
        <v>194</v>
      </c>
      <c r="D26" s="66" t="s">
        <v>1886</v>
      </c>
      <c r="E26" s="66">
        <v>5</v>
      </c>
      <c r="F26" s="169" t="s">
        <v>1896</v>
      </c>
    </row>
    <row r="27" spans="2:9" x14ac:dyDescent="0.3">
      <c r="B27" s="66">
        <v>16</v>
      </c>
      <c r="C27" s="66" t="s">
        <v>194</v>
      </c>
      <c r="D27" s="41" t="s">
        <v>1888</v>
      </c>
      <c r="E27" s="150">
        <v>1</v>
      </c>
      <c r="F27" s="26" t="s">
        <v>1418</v>
      </c>
    </row>
    <row r="28" spans="2:9" x14ac:dyDescent="0.3">
      <c r="B28" s="66">
        <v>17</v>
      </c>
      <c r="C28" s="66" t="s">
        <v>194</v>
      </c>
      <c r="D28" s="41" t="s">
        <v>1888</v>
      </c>
      <c r="E28" s="150">
        <v>2</v>
      </c>
      <c r="F28" s="26" t="s">
        <v>1418</v>
      </c>
    </row>
    <row r="29" spans="2:9" x14ac:dyDescent="0.3">
      <c r="B29" s="66">
        <v>18</v>
      </c>
      <c r="C29" s="66" t="s">
        <v>194</v>
      </c>
      <c r="D29" s="41" t="s">
        <v>1888</v>
      </c>
      <c r="E29" s="150">
        <v>3</v>
      </c>
      <c r="F29" s="26" t="s">
        <v>1418</v>
      </c>
    </row>
    <row r="30" spans="2:9" x14ac:dyDescent="0.3">
      <c r="B30" s="66">
        <v>19</v>
      </c>
      <c r="C30" s="66" t="s">
        <v>194</v>
      </c>
      <c r="D30" s="41" t="s">
        <v>1888</v>
      </c>
      <c r="E30" s="150">
        <v>4</v>
      </c>
      <c r="F30" s="26" t="s">
        <v>1418</v>
      </c>
    </row>
  </sheetData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2" tint="-0.249977111117893"/>
    <pageSetUpPr fitToPage="1"/>
  </sheetPr>
  <dimension ref="B2:F59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1897</v>
      </c>
      <c r="C2" s="242"/>
      <c r="D2" s="242"/>
      <c r="E2" s="242"/>
      <c r="F2" s="242"/>
    </row>
    <row r="3" spans="2:6" x14ac:dyDescent="0.3">
      <c r="B3" s="14"/>
      <c r="C3" s="197"/>
      <c r="D3" s="14"/>
      <c r="E3" s="14"/>
      <c r="F3" s="14"/>
    </row>
    <row r="4" spans="2:6" ht="17.25" customHeight="1" x14ac:dyDescent="0.35">
      <c r="B4" s="34" t="s">
        <v>1898</v>
      </c>
      <c r="C4" s="22">
        <v>35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37">
        <v>30</v>
      </c>
      <c r="E8" s="38" t="s">
        <v>1899</v>
      </c>
    </row>
    <row r="10" spans="2:6" x14ac:dyDescent="0.3">
      <c r="B10" s="7" t="s">
        <v>197</v>
      </c>
      <c r="C10" s="7" t="s">
        <v>215</v>
      </c>
      <c r="D10" s="7" t="s">
        <v>290</v>
      </c>
    </row>
    <row r="11" spans="2:6" x14ac:dyDescent="0.3">
      <c r="B11" s="39">
        <v>1</v>
      </c>
      <c r="C11" s="39" t="s">
        <v>1900</v>
      </c>
      <c r="D11" s="40">
        <v>3</v>
      </c>
    </row>
    <row r="12" spans="2:6" x14ac:dyDescent="0.3">
      <c r="B12" s="39">
        <v>2</v>
      </c>
      <c r="C12" s="39" t="s">
        <v>1901</v>
      </c>
      <c r="D12" s="40">
        <v>3</v>
      </c>
    </row>
    <row r="13" spans="2:6" x14ac:dyDescent="0.3">
      <c r="B13" s="39">
        <v>3</v>
      </c>
      <c r="C13" s="39" t="s">
        <v>1902</v>
      </c>
      <c r="D13" s="40">
        <v>3</v>
      </c>
    </row>
    <row r="14" spans="2:6" x14ac:dyDescent="0.3">
      <c r="B14" s="39">
        <v>4</v>
      </c>
      <c r="C14" s="39" t="s">
        <v>1903</v>
      </c>
      <c r="D14" s="40">
        <v>3</v>
      </c>
    </row>
    <row r="15" spans="2:6" x14ac:dyDescent="0.3">
      <c r="B15" s="39">
        <v>5</v>
      </c>
      <c r="C15" s="39" t="s">
        <v>1904</v>
      </c>
      <c r="D15" s="40">
        <v>3</v>
      </c>
    </row>
    <row r="16" spans="2:6" x14ac:dyDescent="0.3">
      <c r="B16" s="39">
        <v>6</v>
      </c>
      <c r="C16" s="39" t="s">
        <v>1905</v>
      </c>
      <c r="D16" s="40">
        <v>3</v>
      </c>
    </row>
    <row r="17" spans="2:6" x14ac:dyDescent="0.3">
      <c r="B17" s="39">
        <v>7</v>
      </c>
      <c r="C17" s="39" t="s">
        <v>1906</v>
      </c>
      <c r="D17" s="40">
        <v>3</v>
      </c>
    </row>
    <row r="18" spans="2:6" x14ac:dyDescent="0.3">
      <c r="B18" s="39">
        <v>8</v>
      </c>
      <c r="C18" s="39" t="s">
        <v>1907</v>
      </c>
      <c r="D18" s="40">
        <v>3</v>
      </c>
    </row>
    <row r="19" spans="2:6" x14ac:dyDescent="0.3">
      <c r="B19" s="39">
        <v>9</v>
      </c>
      <c r="C19" s="39" t="s">
        <v>1908</v>
      </c>
      <c r="D19" s="40">
        <v>3</v>
      </c>
    </row>
    <row r="20" spans="2:6" x14ac:dyDescent="0.3">
      <c r="B20" s="39">
        <v>10</v>
      </c>
      <c r="C20" s="39" t="s">
        <v>1909</v>
      </c>
      <c r="D20" s="40">
        <v>3</v>
      </c>
    </row>
    <row r="21" spans="2:6" x14ac:dyDescent="0.3">
      <c r="B21" s="41">
        <v>11</v>
      </c>
      <c r="C21" s="39" t="s">
        <v>1910</v>
      </c>
      <c r="D21" s="40">
        <v>5</v>
      </c>
    </row>
    <row r="22" spans="2:6" x14ac:dyDescent="0.3">
      <c r="C22" s="42" t="s">
        <v>150</v>
      </c>
      <c r="D22" s="43">
        <f>SUM(D11:D21)</f>
        <v>35</v>
      </c>
    </row>
    <row r="24" spans="2:6" x14ac:dyDescent="0.3">
      <c r="B24" s="7" t="s">
        <v>197</v>
      </c>
      <c r="C24" s="7" t="s">
        <v>151</v>
      </c>
      <c r="D24" s="7" t="s">
        <v>215</v>
      </c>
      <c r="E24" s="7" t="s">
        <v>216</v>
      </c>
      <c r="F24" s="7" t="s">
        <v>217</v>
      </c>
    </row>
    <row r="25" spans="2:6" x14ac:dyDescent="0.3">
      <c r="B25" s="41">
        <v>1</v>
      </c>
      <c r="C25" s="41" t="s">
        <v>195</v>
      </c>
      <c r="D25" s="41" t="s">
        <v>1900</v>
      </c>
      <c r="E25" s="41">
        <v>1</v>
      </c>
      <c r="F25" s="41" t="s">
        <v>1911</v>
      </c>
    </row>
    <row r="26" spans="2:6" x14ac:dyDescent="0.3">
      <c r="B26" s="41">
        <v>2</v>
      </c>
      <c r="C26" s="41" t="s">
        <v>195</v>
      </c>
      <c r="D26" s="41" t="s">
        <v>1900</v>
      </c>
      <c r="E26" s="41">
        <v>2</v>
      </c>
      <c r="F26" s="41" t="s">
        <v>1912</v>
      </c>
    </row>
    <row r="27" spans="2:6" x14ac:dyDescent="0.3">
      <c r="B27" s="41">
        <v>3</v>
      </c>
      <c r="C27" s="41" t="s">
        <v>195</v>
      </c>
      <c r="D27" s="41" t="s">
        <v>1900</v>
      </c>
      <c r="E27" s="41">
        <v>3</v>
      </c>
      <c r="F27" s="41" t="s">
        <v>1913</v>
      </c>
    </row>
    <row r="28" spans="2:6" x14ac:dyDescent="0.3">
      <c r="B28" s="41">
        <v>4</v>
      </c>
      <c r="C28" s="41" t="s">
        <v>195</v>
      </c>
      <c r="D28" s="41" t="s">
        <v>1901</v>
      </c>
      <c r="E28" s="41">
        <v>1</v>
      </c>
      <c r="F28" s="41" t="s">
        <v>1914</v>
      </c>
    </row>
    <row r="29" spans="2:6" x14ac:dyDescent="0.3">
      <c r="B29" s="41">
        <v>5</v>
      </c>
      <c r="C29" s="41" t="s">
        <v>195</v>
      </c>
      <c r="D29" s="41" t="s">
        <v>1901</v>
      </c>
      <c r="E29" s="41">
        <v>2</v>
      </c>
      <c r="F29" s="41" t="s">
        <v>1915</v>
      </c>
    </row>
    <row r="30" spans="2:6" x14ac:dyDescent="0.3">
      <c r="B30" s="41">
        <v>6</v>
      </c>
      <c r="C30" s="41" t="s">
        <v>195</v>
      </c>
      <c r="D30" s="41" t="s">
        <v>1901</v>
      </c>
      <c r="E30" s="41">
        <v>3</v>
      </c>
      <c r="F30" s="41" t="s">
        <v>1916</v>
      </c>
    </row>
    <row r="31" spans="2:6" x14ac:dyDescent="0.3">
      <c r="B31" s="41">
        <v>7</v>
      </c>
      <c r="C31" s="41" t="s">
        <v>195</v>
      </c>
      <c r="D31" s="41" t="s">
        <v>1902</v>
      </c>
      <c r="E31" s="41">
        <v>1</v>
      </c>
      <c r="F31" s="41" t="s">
        <v>1917</v>
      </c>
    </row>
    <row r="32" spans="2:6" x14ac:dyDescent="0.3">
      <c r="B32" s="41">
        <v>8</v>
      </c>
      <c r="C32" s="41" t="s">
        <v>195</v>
      </c>
      <c r="D32" s="41" t="s">
        <v>1902</v>
      </c>
      <c r="E32" s="41">
        <v>2</v>
      </c>
      <c r="F32" s="41" t="s">
        <v>1918</v>
      </c>
    </row>
    <row r="33" spans="2:6" x14ac:dyDescent="0.3">
      <c r="B33" s="41">
        <v>9</v>
      </c>
      <c r="C33" s="41" t="s">
        <v>195</v>
      </c>
      <c r="D33" s="41" t="s">
        <v>1902</v>
      </c>
      <c r="E33" s="41">
        <v>3</v>
      </c>
      <c r="F33" s="41" t="s">
        <v>1919</v>
      </c>
    </row>
    <row r="34" spans="2:6" x14ac:dyDescent="0.3">
      <c r="B34" s="41">
        <v>10</v>
      </c>
      <c r="C34" s="41" t="s">
        <v>195</v>
      </c>
      <c r="D34" s="41" t="s">
        <v>1903</v>
      </c>
      <c r="E34" s="41">
        <v>1</v>
      </c>
      <c r="F34" s="41" t="s">
        <v>1920</v>
      </c>
    </row>
    <row r="35" spans="2:6" x14ac:dyDescent="0.3">
      <c r="B35" s="41">
        <v>11</v>
      </c>
      <c r="C35" s="41" t="s">
        <v>195</v>
      </c>
      <c r="D35" s="41" t="s">
        <v>1903</v>
      </c>
      <c r="E35" s="41">
        <v>2</v>
      </c>
      <c r="F35" s="41" t="s">
        <v>1921</v>
      </c>
    </row>
    <row r="36" spans="2:6" x14ac:dyDescent="0.3">
      <c r="B36" s="41">
        <v>12</v>
      </c>
      <c r="C36" s="41" t="s">
        <v>195</v>
      </c>
      <c r="D36" s="41" t="s">
        <v>1903</v>
      </c>
      <c r="E36" s="41">
        <v>3</v>
      </c>
      <c r="F36" s="41" t="s">
        <v>1922</v>
      </c>
    </row>
    <row r="37" spans="2:6" x14ac:dyDescent="0.3">
      <c r="B37" s="41">
        <v>13</v>
      </c>
      <c r="C37" s="41" t="s">
        <v>195</v>
      </c>
      <c r="D37" s="41" t="s">
        <v>1904</v>
      </c>
      <c r="E37" s="41">
        <v>1</v>
      </c>
      <c r="F37" s="41" t="s">
        <v>1923</v>
      </c>
    </row>
    <row r="38" spans="2:6" x14ac:dyDescent="0.3">
      <c r="B38" s="41">
        <v>14</v>
      </c>
      <c r="C38" s="41" t="s">
        <v>195</v>
      </c>
      <c r="D38" s="41" t="s">
        <v>1904</v>
      </c>
      <c r="E38" s="41">
        <v>2</v>
      </c>
      <c r="F38" s="41" t="s">
        <v>1924</v>
      </c>
    </row>
    <row r="39" spans="2:6" x14ac:dyDescent="0.3">
      <c r="B39" s="41">
        <v>15</v>
      </c>
      <c r="C39" s="41" t="s">
        <v>195</v>
      </c>
      <c r="D39" s="41" t="s">
        <v>1904</v>
      </c>
      <c r="E39" s="41">
        <v>3</v>
      </c>
      <c r="F39" s="41" t="s">
        <v>1925</v>
      </c>
    </row>
    <row r="40" spans="2:6" x14ac:dyDescent="0.3">
      <c r="B40" s="41">
        <v>16</v>
      </c>
      <c r="C40" s="41" t="s">
        <v>195</v>
      </c>
      <c r="D40" s="41" t="s">
        <v>1905</v>
      </c>
      <c r="E40" s="41">
        <v>1</v>
      </c>
      <c r="F40" s="41" t="s">
        <v>1926</v>
      </c>
    </row>
    <row r="41" spans="2:6" x14ac:dyDescent="0.3">
      <c r="B41" s="41">
        <v>17</v>
      </c>
      <c r="C41" s="41" t="s">
        <v>195</v>
      </c>
      <c r="D41" s="41" t="s">
        <v>1905</v>
      </c>
      <c r="E41" s="41">
        <v>2</v>
      </c>
      <c r="F41" s="41" t="s">
        <v>1927</v>
      </c>
    </row>
    <row r="42" spans="2:6" x14ac:dyDescent="0.3">
      <c r="B42" s="41">
        <v>18</v>
      </c>
      <c r="C42" s="41" t="s">
        <v>195</v>
      </c>
      <c r="D42" s="41" t="s">
        <v>1905</v>
      </c>
      <c r="E42" s="41">
        <v>3</v>
      </c>
      <c r="F42" s="41" t="s">
        <v>1928</v>
      </c>
    </row>
    <row r="43" spans="2:6" x14ac:dyDescent="0.3">
      <c r="B43" s="41">
        <v>19</v>
      </c>
      <c r="C43" s="41" t="s">
        <v>195</v>
      </c>
      <c r="D43" s="41" t="s">
        <v>1906</v>
      </c>
      <c r="E43" s="41">
        <v>1</v>
      </c>
      <c r="F43" s="41" t="s">
        <v>1929</v>
      </c>
    </row>
    <row r="44" spans="2:6" x14ac:dyDescent="0.3">
      <c r="B44" s="41">
        <v>20</v>
      </c>
      <c r="C44" s="41" t="s">
        <v>195</v>
      </c>
      <c r="D44" s="41" t="s">
        <v>1906</v>
      </c>
      <c r="E44" s="41">
        <v>2</v>
      </c>
      <c r="F44" s="41" t="s">
        <v>1930</v>
      </c>
    </row>
    <row r="45" spans="2:6" x14ac:dyDescent="0.3">
      <c r="B45" s="41">
        <v>21</v>
      </c>
      <c r="C45" s="41" t="s">
        <v>195</v>
      </c>
      <c r="D45" s="41" t="s">
        <v>1906</v>
      </c>
      <c r="E45" s="41">
        <v>3</v>
      </c>
      <c r="F45" s="41" t="s">
        <v>1931</v>
      </c>
    </row>
    <row r="46" spans="2:6" x14ac:dyDescent="0.3">
      <c r="B46" s="41">
        <v>22</v>
      </c>
      <c r="C46" s="41" t="s">
        <v>195</v>
      </c>
      <c r="D46" s="41" t="s">
        <v>1907</v>
      </c>
      <c r="E46" s="41">
        <v>1</v>
      </c>
      <c r="F46" s="41" t="s">
        <v>1932</v>
      </c>
    </row>
    <row r="47" spans="2:6" x14ac:dyDescent="0.3">
      <c r="B47" s="41">
        <v>23</v>
      </c>
      <c r="C47" s="41" t="s">
        <v>195</v>
      </c>
      <c r="D47" s="41" t="s">
        <v>1907</v>
      </c>
      <c r="E47" s="41">
        <v>2</v>
      </c>
      <c r="F47" s="41" t="s">
        <v>1933</v>
      </c>
    </row>
    <row r="48" spans="2:6" x14ac:dyDescent="0.3">
      <c r="B48" s="41">
        <v>24</v>
      </c>
      <c r="C48" s="41" t="s">
        <v>195</v>
      </c>
      <c r="D48" s="41" t="s">
        <v>1907</v>
      </c>
      <c r="E48" s="41">
        <v>3</v>
      </c>
      <c r="F48" s="41" t="s">
        <v>1934</v>
      </c>
    </row>
    <row r="49" spans="2:6" x14ac:dyDescent="0.3">
      <c r="B49" s="41">
        <v>25</v>
      </c>
      <c r="C49" s="41" t="s">
        <v>195</v>
      </c>
      <c r="D49" s="41" t="s">
        <v>1908</v>
      </c>
      <c r="E49" s="41">
        <v>1</v>
      </c>
      <c r="F49" s="41" t="s">
        <v>1935</v>
      </c>
    </row>
    <row r="50" spans="2:6" x14ac:dyDescent="0.3">
      <c r="B50" s="41">
        <v>26</v>
      </c>
      <c r="C50" s="41" t="s">
        <v>195</v>
      </c>
      <c r="D50" s="41" t="s">
        <v>1908</v>
      </c>
      <c r="E50" s="41">
        <v>2</v>
      </c>
      <c r="F50" s="41" t="s">
        <v>1936</v>
      </c>
    </row>
    <row r="51" spans="2:6" x14ac:dyDescent="0.3">
      <c r="B51" s="41">
        <v>27</v>
      </c>
      <c r="C51" s="41" t="s">
        <v>195</v>
      </c>
      <c r="D51" s="41" t="s">
        <v>1908</v>
      </c>
      <c r="E51" s="41">
        <v>3</v>
      </c>
      <c r="F51" s="41" t="s">
        <v>1937</v>
      </c>
    </row>
    <row r="52" spans="2:6" x14ac:dyDescent="0.3">
      <c r="B52" s="41">
        <v>28</v>
      </c>
      <c r="C52" s="41" t="s">
        <v>195</v>
      </c>
      <c r="D52" s="41" t="s">
        <v>1909</v>
      </c>
      <c r="E52" s="41">
        <v>1</v>
      </c>
      <c r="F52" s="41" t="s">
        <v>1938</v>
      </c>
    </row>
    <row r="53" spans="2:6" x14ac:dyDescent="0.3">
      <c r="B53" s="41">
        <v>29</v>
      </c>
      <c r="C53" s="41" t="s">
        <v>195</v>
      </c>
      <c r="D53" s="41" t="s">
        <v>1909</v>
      </c>
      <c r="E53" s="41">
        <v>2</v>
      </c>
      <c r="F53" s="41" t="s">
        <v>1939</v>
      </c>
    </row>
    <row r="54" spans="2:6" x14ac:dyDescent="0.3">
      <c r="B54" s="41">
        <v>30</v>
      </c>
      <c r="C54" s="41" t="s">
        <v>195</v>
      </c>
      <c r="D54" s="41" t="s">
        <v>1909</v>
      </c>
      <c r="E54" s="41">
        <v>3</v>
      </c>
      <c r="F54" s="41" t="s">
        <v>1940</v>
      </c>
    </row>
    <row r="55" spans="2:6" x14ac:dyDescent="0.3">
      <c r="B55" s="41">
        <v>31</v>
      </c>
      <c r="C55" s="41" t="s">
        <v>195</v>
      </c>
      <c r="D55" s="41" t="s">
        <v>1910</v>
      </c>
      <c r="E55" s="41">
        <v>1</v>
      </c>
      <c r="F55" s="41" t="s">
        <v>1941</v>
      </c>
    </row>
    <row r="56" spans="2:6" x14ac:dyDescent="0.3">
      <c r="B56" s="41">
        <v>32</v>
      </c>
      <c r="C56" s="41" t="s">
        <v>195</v>
      </c>
      <c r="D56" s="41" t="s">
        <v>1910</v>
      </c>
      <c r="E56" s="41">
        <v>2</v>
      </c>
      <c r="F56" s="41" t="s">
        <v>1942</v>
      </c>
    </row>
    <row r="57" spans="2:6" x14ac:dyDescent="0.3">
      <c r="B57" s="41">
        <v>33</v>
      </c>
      <c r="C57" s="41" t="s">
        <v>195</v>
      </c>
      <c r="D57" s="41" t="s">
        <v>1910</v>
      </c>
      <c r="E57" s="41">
        <v>3</v>
      </c>
      <c r="F57" s="41" t="s">
        <v>1943</v>
      </c>
    </row>
    <row r="58" spans="2:6" x14ac:dyDescent="0.3">
      <c r="B58" s="41">
        <v>34</v>
      </c>
      <c r="C58" s="41" t="s">
        <v>195</v>
      </c>
      <c r="D58" s="41" t="s">
        <v>1910</v>
      </c>
      <c r="E58" s="41">
        <v>4</v>
      </c>
      <c r="F58" s="41" t="s">
        <v>1944</v>
      </c>
    </row>
    <row r="59" spans="2:6" x14ac:dyDescent="0.3">
      <c r="B59" s="41">
        <v>35</v>
      </c>
      <c r="C59" s="41" t="s">
        <v>195</v>
      </c>
      <c r="D59" s="41" t="s">
        <v>1910</v>
      </c>
      <c r="E59" s="41">
        <v>5</v>
      </c>
      <c r="F59" s="41" t="s">
        <v>1945</v>
      </c>
    </row>
  </sheetData>
  <mergeCells count="1">
    <mergeCell ref="B2:F2"/>
  </mergeCells>
  <pageMargins left="0.25" right="0.25" top="0.75" bottom="0.75" header="0.3" footer="0.3"/>
  <pageSetup paperSize="9" scale="78" fitToHeight="0" orientation="landscape" horizontalDpi="300" verticalDpi="300" r:id="rId1"/>
  <headerFooter>
    <oddFooter>&amp;LPulse Oximetry allocation&amp;C&amp;A&amp;R&amp;P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2" tint="-0.249977111117893"/>
    <pageSetUpPr fitToPage="1"/>
  </sheetPr>
  <dimension ref="B2:F35"/>
  <sheetViews>
    <sheetView showGridLines="0" view="pageLayout" zoomScaleNormal="90" workbookViewId="0">
      <selection activeCell="C8" sqref="C8"/>
    </sheetView>
  </sheetViews>
  <sheetFormatPr defaultColWidth="8.5546875" defaultRowHeight="14.4" x14ac:dyDescent="0.3"/>
  <cols>
    <col min="1" max="1" width="2.6640625" customWidth="1"/>
    <col min="2" max="2" width="25.44140625" customWidth="1"/>
    <col min="3" max="3" width="15.88671875" customWidth="1"/>
    <col min="4" max="4" width="22.6640625" customWidth="1"/>
    <col min="5" max="5" width="14.5546875" customWidth="1"/>
    <col min="6" max="6" width="18.109375" customWidth="1"/>
  </cols>
  <sheetData>
    <row r="2" spans="2:6" ht="23.25" customHeight="1" x14ac:dyDescent="0.45">
      <c r="B2" s="248" t="s">
        <v>1946</v>
      </c>
      <c r="C2" s="248"/>
      <c r="D2" s="248"/>
      <c r="E2" s="248"/>
      <c r="F2" s="248"/>
    </row>
    <row r="3" spans="2:6" ht="23.25" customHeight="1" x14ac:dyDescent="0.45">
      <c r="B3" s="170"/>
      <c r="C3" s="198"/>
      <c r="D3" s="170"/>
      <c r="E3" s="170"/>
      <c r="F3" s="170"/>
    </row>
    <row r="4" spans="2:6" ht="34.5" customHeight="1" x14ac:dyDescent="0.35">
      <c r="B4" s="171" t="s">
        <v>1947</v>
      </c>
      <c r="C4" s="172">
        <f>SUM(C7:C8)</f>
        <v>17</v>
      </c>
    </row>
    <row r="5" spans="2:6" ht="15" customHeight="1" x14ac:dyDescent="0.3">
      <c r="B5" s="49" t="s">
        <v>288</v>
      </c>
    </row>
    <row r="7" spans="2:6" x14ac:dyDescent="0.3">
      <c r="B7" s="50" t="s">
        <v>289</v>
      </c>
      <c r="C7" s="173">
        <v>5</v>
      </c>
    </row>
    <row r="8" spans="2:6" x14ac:dyDescent="0.3">
      <c r="B8" s="50" t="s">
        <v>147</v>
      </c>
      <c r="C8" s="173">
        <v>12</v>
      </c>
      <c r="E8" s="38"/>
    </row>
    <row r="10" spans="2:6" x14ac:dyDescent="0.3">
      <c r="B10" s="11" t="s">
        <v>197</v>
      </c>
      <c r="C10" s="11" t="s">
        <v>215</v>
      </c>
      <c r="D10" s="7" t="s">
        <v>290</v>
      </c>
    </row>
    <row r="11" spans="2:6" x14ac:dyDescent="0.3">
      <c r="B11" s="174">
        <v>1</v>
      </c>
      <c r="C11" s="174" t="s">
        <v>1948</v>
      </c>
      <c r="D11" s="130">
        <v>3</v>
      </c>
    </row>
    <row r="12" spans="2:6" x14ac:dyDescent="0.3">
      <c r="B12" s="174">
        <v>2</v>
      </c>
      <c r="C12" s="174" t="s">
        <v>1949</v>
      </c>
      <c r="D12" s="175">
        <v>3</v>
      </c>
    </row>
    <row r="13" spans="2:6" x14ac:dyDescent="0.3">
      <c r="B13" s="174">
        <v>3</v>
      </c>
      <c r="C13" s="174" t="s">
        <v>1950</v>
      </c>
      <c r="D13" s="175">
        <v>5</v>
      </c>
    </row>
    <row r="14" spans="2:6" x14ac:dyDescent="0.3">
      <c r="B14" s="174">
        <v>4</v>
      </c>
      <c r="C14" s="174" t="s">
        <v>1430</v>
      </c>
      <c r="D14" s="175">
        <v>3</v>
      </c>
    </row>
    <row r="15" spans="2:6" x14ac:dyDescent="0.3">
      <c r="B15" s="176">
        <v>5</v>
      </c>
      <c r="C15" s="174" t="s">
        <v>329</v>
      </c>
      <c r="D15" s="175">
        <v>3</v>
      </c>
    </row>
    <row r="16" spans="2:6" x14ac:dyDescent="0.3">
      <c r="C16" s="177" t="s">
        <v>150</v>
      </c>
      <c r="D16" s="178">
        <f>SUM(D11:D15)</f>
        <v>17</v>
      </c>
    </row>
    <row r="18" spans="2:6" x14ac:dyDescent="0.3">
      <c r="B18" s="11" t="s">
        <v>197</v>
      </c>
      <c r="C18" s="11" t="s">
        <v>151</v>
      </c>
      <c r="D18" s="11" t="s">
        <v>215</v>
      </c>
      <c r="E18" s="11" t="s">
        <v>216</v>
      </c>
      <c r="F18" s="7" t="s">
        <v>217</v>
      </c>
    </row>
    <row r="19" spans="2:6" x14ac:dyDescent="0.3">
      <c r="B19" s="149">
        <v>1</v>
      </c>
      <c r="C19" s="149" t="s">
        <v>196</v>
      </c>
      <c r="D19" s="149" t="s">
        <v>1948</v>
      </c>
      <c r="E19" s="149">
        <v>1</v>
      </c>
      <c r="F19" s="39" t="s">
        <v>1951</v>
      </c>
    </row>
    <row r="20" spans="2:6" x14ac:dyDescent="0.3">
      <c r="B20" s="149">
        <v>2</v>
      </c>
      <c r="C20" s="149" t="s">
        <v>196</v>
      </c>
      <c r="D20" s="149" t="s">
        <v>1948</v>
      </c>
      <c r="E20" s="149">
        <v>2</v>
      </c>
      <c r="F20" s="39" t="s">
        <v>1952</v>
      </c>
    </row>
    <row r="21" spans="2:6" x14ac:dyDescent="0.3">
      <c r="B21" s="149">
        <v>3</v>
      </c>
      <c r="C21" s="149" t="s">
        <v>196</v>
      </c>
      <c r="D21" s="149" t="s">
        <v>1948</v>
      </c>
      <c r="E21" s="149">
        <v>3</v>
      </c>
      <c r="F21" s="39" t="s">
        <v>1953</v>
      </c>
    </row>
    <row r="22" spans="2:6" x14ac:dyDescent="0.3">
      <c r="B22" s="149">
        <v>4</v>
      </c>
      <c r="C22" s="149" t="s">
        <v>196</v>
      </c>
      <c r="D22" s="149" t="s">
        <v>1949</v>
      </c>
      <c r="E22" s="149">
        <v>1</v>
      </c>
      <c r="F22" s="39" t="s">
        <v>1954</v>
      </c>
    </row>
    <row r="23" spans="2:6" x14ac:dyDescent="0.3">
      <c r="B23" s="149">
        <v>5</v>
      </c>
      <c r="C23" s="149" t="s">
        <v>196</v>
      </c>
      <c r="D23" s="149" t="s">
        <v>1949</v>
      </c>
      <c r="E23" s="149">
        <v>2</v>
      </c>
      <c r="F23" s="39" t="s">
        <v>1955</v>
      </c>
    </row>
    <row r="24" spans="2:6" x14ac:dyDescent="0.3">
      <c r="B24" s="149">
        <v>6</v>
      </c>
      <c r="C24" s="149" t="s">
        <v>196</v>
      </c>
      <c r="D24" s="149" t="s">
        <v>1949</v>
      </c>
      <c r="E24" s="149">
        <v>3</v>
      </c>
      <c r="F24" s="39" t="s">
        <v>1956</v>
      </c>
    </row>
    <row r="25" spans="2:6" x14ac:dyDescent="0.3">
      <c r="B25" s="149">
        <v>7</v>
      </c>
      <c r="C25" s="149" t="s">
        <v>196</v>
      </c>
      <c r="D25" s="149" t="s">
        <v>1950</v>
      </c>
      <c r="E25" s="149">
        <v>1</v>
      </c>
      <c r="F25" s="39" t="s">
        <v>1957</v>
      </c>
    </row>
    <row r="26" spans="2:6" x14ac:dyDescent="0.3">
      <c r="B26" s="149">
        <v>8</v>
      </c>
      <c r="C26" s="149" t="s">
        <v>196</v>
      </c>
      <c r="D26" s="149" t="s">
        <v>1950</v>
      </c>
      <c r="E26" s="149">
        <v>2</v>
      </c>
      <c r="F26" s="39" t="s">
        <v>1958</v>
      </c>
    </row>
    <row r="27" spans="2:6" x14ac:dyDescent="0.3">
      <c r="B27" s="149">
        <v>9</v>
      </c>
      <c r="C27" s="149" t="s">
        <v>196</v>
      </c>
      <c r="D27" s="149" t="s">
        <v>1950</v>
      </c>
      <c r="E27" s="149">
        <v>3</v>
      </c>
      <c r="F27" s="39" t="s">
        <v>1959</v>
      </c>
    </row>
    <row r="28" spans="2:6" x14ac:dyDescent="0.3">
      <c r="B28" s="149">
        <v>10</v>
      </c>
      <c r="C28" s="149" t="s">
        <v>196</v>
      </c>
      <c r="D28" s="149" t="s">
        <v>1950</v>
      </c>
      <c r="E28" s="149">
        <v>4</v>
      </c>
      <c r="F28" s="39" t="s">
        <v>1960</v>
      </c>
    </row>
    <row r="29" spans="2:6" x14ac:dyDescent="0.3">
      <c r="B29" s="149">
        <v>11</v>
      </c>
      <c r="C29" s="149" t="s">
        <v>196</v>
      </c>
      <c r="D29" s="149" t="s">
        <v>1950</v>
      </c>
      <c r="E29" s="149">
        <v>5</v>
      </c>
      <c r="F29" s="39" t="s">
        <v>1961</v>
      </c>
    </row>
    <row r="30" spans="2:6" x14ac:dyDescent="0.3">
      <c r="B30" s="149">
        <v>12</v>
      </c>
      <c r="C30" s="149" t="s">
        <v>196</v>
      </c>
      <c r="D30" s="149" t="s">
        <v>1430</v>
      </c>
      <c r="E30" s="149">
        <v>1</v>
      </c>
      <c r="F30" s="39" t="s">
        <v>1962</v>
      </c>
    </row>
    <row r="31" spans="2:6" x14ac:dyDescent="0.3">
      <c r="B31" s="149">
        <v>13</v>
      </c>
      <c r="C31" s="149" t="s">
        <v>196</v>
      </c>
      <c r="D31" s="149" t="s">
        <v>1430</v>
      </c>
      <c r="E31" s="149">
        <v>2</v>
      </c>
      <c r="F31" s="39" t="s">
        <v>1963</v>
      </c>
    </row>
    <row r="32" spans="2:6" x14ac:dyDescent="0.3">
      <c r="B32" s="149">
        <v>14</v>
      </c>
      <c r="C32" s="149" t="s">
        <v>196</v>
      </c>
      <c r="D32" s="149" t="s">
        <v>1430</v>
      </c>
      <c r="E32" s="149">
        <v>3</v>
      </c>
      <c r="F32" s="39" t="s">
        <v>1964</v>
      </c>
    </row>
    <row r="33" spans="2:6" x14ac:dyDescent="0.3">
      <c r="B33" s="149">
        <v>15</v>
      </c>
      <c r="C33" s="149" t="s">
        <v>196</v>
      </c>
      <c r="D33" s="149" t="s">
        <v>329</v>
      </c>
      <c r="E33" s="149">
        <v>1</v>
      </c>
      <c r="F33" s="39" t="s">
        <v>1965</v>
      </c>
    </row>
    <row r="34" spans="2:6" x14ac:dyDescent="0.3">
      <c r="B34" s="149">
        <v>16</v>
      </c>
      <c r="C34" s="149" t="s">
        <v>196</v>
      </c>
      <c r="D34" s="149" t="s">
        <v>329</v>
      </c>
      <c r="E34" s="149">
        <v>2</v>
      </c>
      <c r="F34" s="39" t="s">
        <v>1966</v>
      </c>
    </row>
    <row r="35" spans="2:6" x14ac:dyDescent="0.3">
      <c r="B35" s="150">
        <v>17</v>
      </c>
      <c r="C35" s="150" t="s">
        <v>196</v>
      </c>
      <c r="D35" s="150" t="s">
        <v>329</v>
      </c>
      <c r="E35" s="150">
        <v>3</v>
      </c>
      <c r="F35" s="41" t="s">
        <v>1967</v>
      </c>
    </row>
  </sheetData>
  <mergeCells count="1">
    <mergeCell ref="B2:F2"/>
  </mergeCells>
  <pageMargins left="0.25" right="0.25" top="0.75" bottom="0.75" header="0.3" footer="0.3"/>
  <pageSetup paperSize="9" fitToHeight="0" orientation="landscape" horizontalDpi="300" verticalDpi="300" r:id="rId1"/>
  <headerFooter>
    <oddFooter>&amp;LPulse Oximetry allocation&amp;C&amp;A&amp;R&amp;P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C2:E9"/>
  <sheetViews>
    <sheetView zoomScaleNormal="100" workbookViewId="0">
      <selection activeCell="E10" sqref="E10"/>
    </sheetView>
  </sheetViews>
  <sheetFormatPr defaultColWidth="8.5546875" defaultRowHeight="14.4" x14ac:dyDescent="0.3"/>
  <cols>
    <col min="3" max="3" width="28.44140625" customWidth="1"/>
    <col min="4" max="4" width="6.88671875" customWidth="1"/>
  </cols>
  <sheetData>
    <row r="2" spans="3:5" x14ac:dyDescent="0.3">
      <c r="C2" t="s">
        <v>1968</v>
      </c>
      <c r="D2" t="s">
        <v>1969</v>
      </c>
      <c r="E2" t="s">
        <v>1970</v>
      </c>
    </row>
    <row r="3" spans="3:5" x14ac:dyDescent="0.3">
      <c r="C3" t="s">
        <v>1803</v>
      </c>
      <c r="D3" t="s">
        <v>1971</v>
      </c>
      <c r="E3">
        <v>3</v>
      </c>
    </row>
    <row r="4" spans="3:5" x14ac:dyDescent="0.3">
      <c r="C4" t="s">
        <v>1804</v>
      </c>
      <c r="D4" t="s">
        <v>1971</v>
      </c>
      <c r="E4">
        <v>3</v>
      </c>
    </row>
    <row r="5" spans="3:5" x14ac:dyDescent="0.3">
      <c r="C5" t="s">
        <v>1806</v>
      </c>
      <c r="D5" t="s">
        <v>1971</v>
      </c>
      <c r="E5">
        <v>3</v>
      </c>
    </row>
    <row r="6" spans="3:5" x14ac:dyDescent="0.3">
      <c r="C6" t="s">
        <v>1805</v>
      </c>
      <c r="D6" t="s">
        <v>1971</v>
      </c>
      <c r="E6">
        <v>3</v>
      </c>
    </row>
    <row r="7" spans="3:5" x14ac:dyDescent="0.3">
      <c r="C7" t="s">
        <v>1807</v>
      </c>
      <c r="D7" t="s">
        <v>1972</v>
      </c>
      <c r="E7">
        <v>5</v>
      </c>
    </row>
    <row r="8" spans="3:5" x14ac:dyDescent="0.3">
      <c r="C8" t="s">
        <v>1808</v>
      </c>
      <c r="D8" t="s">
        <v>1971</v>
      </c>
      <c r="E8">
        <v>3</v>
      </c>
    </row>
    <row r="9" spans="3:5" x14ac:dyDescent="0.3">
      <c r="C9" t="s">
        <v>1809</v>
      </c>
      <c r="D9" t="s">
        <v>1971</v>
      </c>
      <c r="E9">
        <v>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2:F82"/>
  <sheetViews>
    <sheetView topLeftCell="A18" zoomScaleNormal="100" workbookViewId="0">
      <selection activeCell="A9" sqref="A9"/>
    </sheetView>
  </sheetViews>
  <sheetFormatPr defaultColWidth="8.5546875" defaultRowHeight="14.4" x14ac:dyDescent="0.3"/>
  <cols>
    <col min="1" max="1" width="2.6640625" customWidth="1"/>
    <col min="2" max="2" width="45.44140625" customWidth="1"/>
    <col min="3" max="4" width="38.109375" customWidth="1"/>
    <col min="5" max="5" width="14.5546875" customWidth="1"/>
    <col min="6" max="6" width="18.109375" customWidth="1"/>
  </cols>
  <sheetData>
    <row r="2" spans="2:6" ht="23.25" customHeight="1" x14ac:dyDescent="0.45">
      <c r="B2" s="242" t="s">
        <v>1973</v>
      </c>
      <c r="C2" s="242"/>
      <c r="D2" s="242"/>
      <c r="E2" s="242"/>
      <c r="F2" s="242"/>
    </row>
    <row r="3" spans="2:6" x14ac:dyDescent="0.3">
      <c r="B3" s="14"/>
      <c r="C3" s="14"/>
      <c r="D3" s="14"/>
      <c r="E3" s="14"/>
      <c r="F3" s="14"/>
    </row>
    <row r="4" spans="2:6" ht="17.25" customHeight="1" x14ac:dyDescent="0.35">
      <c r="B4" s="34" t="s">
        <v>1974</v>
      </c>
      <c r="C4" s="22">
        <v>53</v>
      </c>
    </row>
    <row r="5" spans="2:6" ht="15" customHeight="1" x14ac:dyDescent="0.3">
      <c r="B5" s="35" t="s">
        <v>288</v>
      </c>
    </row>
    <row r="7" spans="2:6" x14ac:dyDescent="0.3">
      <c r="B7" s="36" t="s">
        <v>289</v>
      </c>
      <c r="C7" s="37">
        <v>5</v>
      </c>
    </row>
    <row r="8" spans="2:6" x14ac:dyDescent="0.3">
      <c r="B8" s="36" t="s">
        <v>147</v>
      </c>
      <c r="C8" s="57">
        <v>45</v>
      </c>
      <c r="E8" s="38" t="s">
        <v>1975</v>
      </c>
    </row>
    <row r="9" spans="2:6" x14ac:dyDescent="0.3">
      <c r="B9" s="103" t="s">
        <v>149</v>
      </c>
      <c r="C9" s="46">
        <v>3</v>
      </c>
      <c r="E9" s="58" t="s">
        <v>1976</v>
      </c>
    </row>
    <row r="10" spans="2:6" x14ac:dyDescent="0.3">
      <c r="B10" s="82" t="s">
        <v>197</v>
      </c>
      <c r="C10" s="82" t="s">
        <v>215</v>
      </c>
      <c r="D10" s="7" t="s">
        <v>290</v>
      </c>
    </row>
    <row r="11" spans="2:6" x14ac:dyDescent="0.3">
      <c r="B11" s="39">
        <v>1</v>
      </c>
      <c r="C11" s="39" t="s">
        <v>501</v>
      </c>
      <c r="D11" s="40">
        <v>5</v>
      </c>
    </row>
    <row r="12" spans="2:6" x14ac:dyDescent="0.3">
      <c r="B12" s="39">
        <v>2</v>
      </c>
      <c r="C12" s="39" t="s">
        <v>1977</v>
      </c>
      <c r="D12" s="40">
        <v>3</v>
      </c>
    </row>
    <row r="13" spans="2:6" x14ac:dyDescent="0.3">
      <c r="B13" s="39">
        <v>3</v>
      </c>
      <c r="C13" s="39" t="s">
        <v>1978</v>
      </c>
      <c r="D13" s="40">
        <v>3</v>
      </c>
    </row>
    <row r="14" spans="2:6" x14ac:dyDescent="0.3">
      <c r="B14" s="39">
        <v>4</v>
      </c>
      <c r="C14" s="39" t="s">
        <v>1979</v>
      </c>
      <c r="D14" s="40">
        <v>3</v>
      </c>
    </row>
    <row r="15" spans="2:6" x14ac:dyDescent="0.3">
      <c r="B15" s="39">
        <v>5</v>
      </c>
      <c r="C15" s="39" t="s">
        <v>1980</v>
      </c>
      <c r="D15" s="40">
        <v>3</v>
      </c>
    </row>
    <row r="16" spans="2:6" x14ac:dyDescent="0.3">
      <c r="B16" s="39">
        <v>6</v>
      </c>
      <c r="C16" s="39" t="s">
        <v>1981</v>
      </c>
      <c r="D16" s="40">
        <v>3</v>
      </c>
    </row>
    <row r="17" spans="2:6" x14ac:dyDescent="0.3">
      <c r="B17" s="39">
        <v>7</v>
      </c>
      <c r="C17" s="39" t="s">
        <v>1982</v>
      </c>
      <c r="D17" s="40">
        <v>3</v>
      </c>
    </row>
    <row r="18" spans="2:6" x14ac:dyDescent="0.3">
      <c r="B18" s="39">
        <v>8</v>
      </c>
      <c r="C18" s="39" t="s">
        <v>1983</v>
      </c>
      <c r="D18" s="40">
        <v>3</v>
      </c>
    </row>
    <row r="19" spans="2:6" x14ac:dyDescent="0.3">
      <c r="B19" s="39">
        <v>9</v>
      </c>
      <c r="C19" s="39" t="s">
        <v>1984</v>
      </c>
      <c r="D19" s="40">
        <v>3</v>
      </c>
    </row>
    <row r="20" spans="2:6" x14ac:dyDescent="0.3">
      <c r="B20" s="39">
        <v>10</v>
      </c>
      <c r="C20" s="39" t="s">
        <v>1985</v>
      </c>
      <c r="D20" s="40">
        <v>3</v>
      </c>
    </row>
    <row r="21" spans="2:6" x14ac:dyDescent="0.3">
      <c r="B21" s="39">
        <v>11</v>
      </c>
      <c r="C21" s="39" t="s">
        <v>1986</v>
      </c>
      <c r="D21" s="40">
        <v>3</v>
      </c>
    </row>
    <row r="22" spans="2:6" x14ac:dyDescent="0.3">
      <c r="B22" s="39">
        <v>12</v>
      </c>
      <c r="C22" s="39" t="s">
        <v>1987</v>
      </c>
      <c r="D22" s="40">
        <v>3</v>
      </c>
    </row>
    <row r="23" spans="2:6" x14ac:dyDescent="0.3">
      <c r="B23" s="39">
        <v>13</v>
      </c>
      <c r="C23" s="39" t="s">
        <v>1988</v>
      </c>
      <c r="D23" s="40">
        <v>3</v>
      </c>
    </row>
    <row r="24" spans="2:6" x14ac:dyDescent="0.3">
      <c r="B24" s="39">
        <v>14</v>
      </c>
      <c r="C24" s="39" t="s">
        <v>1989</v>
      </c>
      <c r="D24" s="40">
        <v>3</v>
      </c>
    </row>
    <row r="25" spans="2:6" x14ac:dyDescent="0.3">
      <c r="B25" s="39">
        <v>15</v>
      </c>
      <c r="C25" s="39" t="s">
        <v>1990</v>
      </c>
      <c r="D25" s="40">
        <v>3</v>
      </c>
    </row>
    <row r="26" spans="2:6" x14ac:dyDescent="0.3">
      <c r="B26" s="39">
        <v>16</v>
      </c>
      <c r="C26" s="39" t="s">
        <v>1991</v>
      </c>
      <c r="D26" s="40">
        <v>3</v>
      </c>
    </row>
    <row r="27" spans="2:6" x14ac:dyDescent="0.3">
      <c r="B27" s="16">
        <v>17</v>
      </c>
      <c r="C27" s="179" t="s">
        <v>518</v>
      </c>
      <c r="D27" s="88">
        <v>3</v>
      </c>
    </row>
    <row r="28" spans="2:6" x14ac:dyDescent="0.3">
      <c r="C28" s="109" t="s">
        <v>150</v>
      </c>
      <c r="D28" s="180">
        <f>SUM(D11:D27)</f>
        <v>53</v>
      </c>
    </row>
    <row r="29" spans="2:6" x14ac:dyDescent="0.3">
      <c r="B29" s="7" t="s">
        <v>197</v>
      </c>
      <c r="C29" s="82" t="s">
        <v>151</v>
      </c>
      <c r="D29" s="82" t="s">
        <v>215</v>
      </c>
      <c r="E29" s="7" t="s">
        <v>216</v>
      </c>
      <c r="F29" s="7" t="s">
        <v>217</v>
      </c>
    </row>
    <row r="30" spans="2:6" x14ac:dyDescent="0.3">
      <c r="B30" s="41">
        <v>1</v>
      </c>
      <c r="C30" s="41" t="s">
        <v>285</v>
      </c>
      <c r="D30" s="41" t="s">
        <v>501</v>
      </c>
      <c r="E30" s="41">
        <v>1</v>
      </c>
      <c r="F30" s="41" t="s">
        <v>1992</v>
      </c>
    </row>
    <row r="31" spans="2:6" x14ac:dyDescent="0.3">
      <c r="B31" s="41">
        <v>2</v>
      </c>
      <c r="C31" s="41" t="s">
        <v>285</v>
      </c>
      <c r="D31" s="41" t="s">
        <v>501</v>
      </c>
      <c r="E31" s="41">
        <v>2</v>
      </c>
      <c r="F31" s="41" t="s">
        <v>1993</v>
      </c>
    </row>
    <row r="32" spans="2:6" x14ac:dyDescent="0.3">
      <c r="B32" s="41">
        <v>3</v>
      </c>
      <c r="C32" s="41" t="s">
        <v>285</v>
      </c>
      <c r="D32" s="41" t="s">
        <v>501</v>
      </c>
      <c r="E32" s="41">
        <v>3</v>
      </c>
      <c r="F32" s="41" t="s">
        <v>1994</v>
      </c>
    </row>
    <row r="33" spans="2:6" x14ac:dyDescent="0.3">
      <c r="B33" s="41">
        <v>4</v>
      </c>
      <c r="C33" s="41" t="s">
        <v>285</v>
      </c>
      <c r="D33" s="41" t="s">
        <v>501</v>
      </c>
      <c r="E33" s="41">
        <v>4</v>
      </c>
      <c r="F33" s="41" t="s">
        <v>1995</v>
      </c>
    </row>
    <row r="34" spans="2:6" x14ac:dyDescent="0.3">
      <c r="B34" s="41">
        <v>5</v>
      </c>
      <c r="C34" s="41" t="s">
        <v>285</v>
      </c>
      <c r="D34" s="41" t="s">
        <v>501</v>
      </c>
      <c r="E34" s="41">
        <v>5</v>
      </c>
      <c r="F34" s="41" t="s">
        <v>1996</v>
      </c>
    </row>
    <row r="35" spans="2:6" x14ac:dyDescent="0.3">
      <c r="B35" s="41">
        <v>6</v>
      </c>
      <c r="C35" s="41" t="s">
        <v>285</v>
      </c>
      <c r="D35" s="41" t="s">
        <v>1977</v>
      </c>
      <c r="E35" s="41">
        <v>1</v>
      </c>
      <c r="F35" s="41" t="s">
        <v>1997</v>
      </c>
    </row>
    <row r="36" spans="2:6" x14ac:dyDescent="0.3">
      <c r="B36" s="41">
        <v>7</v>
      </c>
      <c r="C36" s="41" t="s">
        <v>285</v>
      </c>
      <c r="D36" s="41" t="s">
        <v>1977</v>
      </c>
      <c r="E36" s="41">
        <v>2</v>
      </c>
      <c r="F36" s="41" t="s">
        <v>1998</v>
      </c>
    </row>
    <row r="37" spans="2:6" x14ac:dyDescent="0.3">
      <c r="B37" s="41">
        <v>8</v>
      </c>
      <c r="C37" s="41" t="s">
        <v>285</v>
      </c>
      <c r="D37" s="41" t="s">
        <v>1977</v>
      </c>
      <c r="E37" s="41">
        <v>3</v>
      </c>
      <c r="F37" s="41" t="s">
        <v>1999</v>
      </c>
    </row>
    <row r="38" spans="2:6" x14ac:dyDescent="0.3">
      <c r="B38" s="41">
        <v>9</v>
      </c>
      <c r="C38" s="41" t="s">
        <v>285</v>
      </c>
      <c r="D38" s="41" t="s">
        <v>1978</v>
      </c>
      <c r="E38" s="41">
        <v>1</v>
      </c>
      <c r="F38" s="41" t="s">
        <v>2000</v>
      </c>
    </row>
    <row r="39" spans="2:6" x14ac:dyDescent="0.3">
      <c r="B39" s="41">
        <v>10</v>
      </c>
      <c r="C39" s="41" t="s">
        <v>285</v>
      </c>
      <c r="D39" s="41" t="s">
        <v>1978</v>
      </c>
      <c r="E39" s="41">
        <v>2</v>
      </c>
      <c r="F39" s="41" t="s">
        <v>2001</v>
      </c>
    </row>
    <row r="40" spans="2:6" x14ac:dyDescent="0.3">
      <c r="B40" s="41">
        <v>11</v>
      </c>
      <c r="C40" s="41" t="s">
        <v>285</v>
      </c>
      <c r="D40" s="41" t="s">
        <v>1978</v>
      </c>
      <c r="E40" s="41">
        <v>3</v>
      </c>
      <c r="F40" s="41" t="s">
        <v>2002</v>
      </c>
    </row>
    <row r="41" spans="2:6" x14ac:dyDescent="0.3">
      <c r="B41" s="41">
        <v>12</v>
      </c>
      <c r="C41" s="41" t="s">
        <v>285</v>
      </c>
      <c r="D41" s="41" t="s">
        <v>1979</v>
      </c>
      <c r="E41" s="41">
        <v>1</v>
      </c>
      <c r="F41" s="41" t="s">
        <v>2003</v>
      </c>
    </row>
    <row r="42" spans="2:6" x14ac:dyDescent="0.3">
      <c r="B42" s="41">
        <v>13</v>
      </c>
      <c r="C42" s="41" t="s">
        <v>285</v>
      </c>
      <c r="D42" s="41" t="s">
        <v>1979</v>
      </c>
      <c r="E42" s="41">
        <v>2</v>
      </c>
      <c r="F42" s="41" t="s">
        <v>2004</v>
      </c>
    </row>
    <row r="43" spans="2:6" x14ac:dyDescent="0.3">
      <c r="B43" s="41">
        <v>14</v>
      </c>
      <c r="C43" s="41" t="s">
        <v>285</v>
      </c>
      <c r="D43" s="41" t="s">
        <v>1979</v>
      </c>
      <c r="E43" s="41">
        <v>3</v>
      </c>
      <c r="F43" s="41" t="s">
        <v>2005</v>
      </c>
    </row>
    <row r="44" spans="2:6" x14ac:dyDescent="0.3">
      <c r="B44" s="41">
        <v>15</v>
      </c>
      <c r="C44" s="41" t="s">
        <v>285</v>
      </c>
      <c r="D44" s="41" t="s">
        <v>1980</v>
      </c>
      <c r="E44" s="41">
        <v>1</v>
      </c>
      <c r="F44" s="41" t="s">
        <v>2006</v>
      </c>
    </row>
    <row r="45" spans="2:6" x14ac:dyDescent="0.3">
      <c r="B45" s="41">
        <v>16</v>
      </c>
      <c r="C45" s="41" t="s">
        <v>285</v>
      </c>
      <c r="D45" s="41" t="s">
        <v>1980</v>
      </c>
      <c r="E45" s="41">
        <v>2</v>
      </c>
      <c r="F45" s="41" t="s">
        <v>2007</v>
      </c>
    </row>
    <row r="46" spans="2:6" x14ac:dyDescent="0.3">
      <c r="B46" s="41">
        <v>17</v>
      </c>
      <c r="C46" s="41" t="s">
        <v>285</v>
      </c>
      <c r="D46" s="41" t="s">
        <v>1980</v>
      </c>
      <c r="E46" s="41">
        <v>3</v>
      </c>
      <c r="F46" s="41" t="s">
        <v>2008</v>
      </c>
    </row>
    <row r="47" spans="2:6" x14ac:dyDescent="0.3">
      <c r="B47" s="41">
        <v>18</v>
      </c>
      <c r="C47" s="41" t="s">
        <v>285</v>
      </c>
      <c r="D47" s="41" t="s">
        <v>1981</v>
      </c>
      <c r="E47" s="41">
        <v>1</v>
      </c>
      <c r="F47" s="41" t="s">
        <v>2009</v>
      </c>
    </row>
    <row r="48" spans="2:6" x14ac:dyDescent="0.3">
      <c r="B48" s="41">
        <v>19</v>
      </c>
      <c r="C48" s="41" t="s">
        <v>285</v>
      </c>
      <c r="D48" s="41" t="s">
        <v>1981</v>
      </c>
      <c r="E48" s="41">
        <v>2</v>
      </c>
      <c r="F48" s="41" t="s">
        <v>2010</v>
      </c>
    </row>
    <row r="49" spans="2:6" x14ac:dyDescent="0.3">
      <c r="B49" s="41">
        <v>20</v>
      </c>
      <c r="C49" s="41" t="s">
        <v>285</v>
      </c>
      <c r="D49" s="41" t="s">
        <v>1981</v>
      </c>
      <c r="E49" s="41">
        <v>3</v>
      </c>
      <c r="F49" s="41" t="s">
        <v>2011</v>
      </c>
    </row>
    <row r="50" spans="2:6" x14ac:dyDescent="0.3">
      <c r="B50" s="41">
        <v>21</v>
      </c>
      <c r="C50" s="41" t="s">
        <v>285</v>
      </c>
      <c r="D50" s="41" t="s">
        <v>1982</v>
      </c>
      <c r="E50" s="41">
        <v>1</v>
      </c>
      <c r="F50" s="41" t="s">
        <v>2012</v>
      </c>
    </row>
    <row r="51" spans="2:6" x14ac:dyDescent="0.3">
      <c r="B51" s="41">
        <v>22</v>
      </c>
      <c r="C51" s="41" t="s">
        <v>285</v>
      </c>
      <c r="D51" s="41" t="s">
        <v>1982</v>
      </c>
      <c r="E51" s="41">
        <v>2</v>
      </c>
      <c r="F51" s="41" t="s">
        <v>2013</v>
      </c>
    </row>
    <row r="52" spans="2:6" x14ac:dyDescent="0.3">
      <c r="B52" s="41">
        <v>23</v>
      </c>
      <c r="C52" s="41" t="s">
        <v>285</v>
      </c>
      <c r="D52" s="41" t="s">
        <v>1982</v>
      </c>
      <c r="E52" s="41">
        <v>3</v>
      </c>
      <c r="F52" s="41" t="s">
        <v>2014</v>
      </c>
    </row>
    <row r="53" spans="2:6" x14ac:dyDescent="0.3">
      <c r="B53" s="41">
        <v>24</v>
      </c>
      <c r="C53" s="41" t="s">
        <v>285</v>
      </c>
      <c r="D53" s="41" t="s">
        <v>1983</v>
      </c>
      <c r="E53" s="41">
        <v>1</v>
      </c>
      <c r="F53" s="41" t="s">
        <v>2015</v>
      </c>
    </row>
    <row r="54" spans="2:6" x14ac:dyDescent="0.3">
      <c r="B54" s="41">
        <v>25</v>
      </c>
      <c r="C54" s="41" t="s">
        <v>285</v>
      </c>
      <c r="D54" s="41" t="s">
        <v>1983</v>
      </c>
      <c r="E54" s="41">
        <v>2</v>
      </c>
      <c r="F54" s="41" t="s">
        <v>2016</v>
      </c>
    </row>
    <row r="55" spans="2:6" x14ac:dyDescent="0.3">
      <c r="B55" s="41">
        <v>26</v>
      </c>
      <c r="C55" s="41" t="s">
        <v>285</v>
      </c>
      <c r="D55" s="41" t="s">
        <v>1983</v>
      </c>
      <c r="E55" s="41">
        <v>3</v>
      </c>
      <c r="F55" s="41" t="s">
        <v>2017</v>
      </c>
    </row>
    <row r="56" spans="2:6" x14ac:dyDescent="0.3">
      <c r="B56" s="41">
        <v>27</v>
      </c>
      <c r="C56" s="41" t="s">
        <v>285</v>
      </c>
      <c r="D56" s="41" t="s">
        <v>1984</v>
      </c>
      <c r="E56" s="41">
        <v>1</v>
      </c>
      <c r="F56" s="41" t="s">
        <v>2018</v>
      </c>
    </row>
    <row r="57" spans="2:6" x14ac:dyDescent="0.3">
      <c r="B57" s="41">
        <v>28</v>
      </c>
      <c r="C57" s="41" t="s">
        <v>285</v>
      </c>
      <c r="D57" s="41" t="s">
        <v>1984</v>
      </c>
      <c r="E57" s="41">
        <v>2</v>
      </c>
      <c r="F57" s="41" t="s">
        <v>2019</v>
      </c>
    </row>
    <row r="58" spans="2:6" x14ac:dyDescent="0.3">
      <c r="B58" s="41">
        <v>29</v>
      </c>
      <c r="C58" s="41" t="s">
        <v>285</v>
      </c>
      <c r="D58" s="41" t="s">
        <v>1984</v>
      </c>
      <c r="E58" s="41">
        <v>3</v>
      </c>
      <c r="F58" s="41" t="s">
        <v>2020</v>
      </c>
    </row>
    <row r="59" spans="2:6" x14ac:dyDescent="0.3">
      <c r="B59" s="41">
        <v>30</v>
      </c>
      <c r="C59" s="41" t="s">
        <v>285</v>
      </c>
      <c r="D59" s="41" t="s">
        <v>1985</v>
      </c>
      <c r="E59" s="41">
        <v>1</v>
      </c>
      <c r="F59" s="41" t="s">
        <v>2021</v>
      </c>
    </row>
    <row r="60" spans="2:6" x14ac:dyDescent="0.3">
      <c r="B60" s="41">
        <v>31</v>
      </c>
      <c r="C60" s="41" t="s">
        <v>285</v>
      </c>
      <c r="D60" s="41" t="s">
        <v>1985</v>
      </c>
      <c r="E60" s="41">
        <v>2</v>
      </c>
      <c r="F60" s="41" t="s">
        <v>2022</v>
      </c>
    </row>
    <row r="61" spans="2:6" x14ac:dyDescent="0.3">
      <c r="B61" s="41">
        <v>32</v>
      </c>
      <c r="C61" s="41" t="s">
        <v>285</v>
      </c>
      <c r="D61" s="41" t="s">
        <v>1985</v>
      </c>
      <c r="E61" s="41">
        <v>3</v>
      </c>
      <c r="F61" s="41" t="s">
        <v>2023</v>
      </c>
    </row>
    <row r="62" spans="2:6" x14ac:dyDescent="0.3">
      <c r="B62" s="41">
        <v>33</v>
      </c>
      <c r="C62" s="41" t="s">
        <v>285</v>
      </c>
      <c r="D62" s="41" t="s">
        <v>1986</v>
      </c>
      <c r="E62" s="41">
        <v>1</v>
      </c>
      <c r="F62" s="41" t="s">
        <v>2024</v>
      </c>
    </row>
    <row r="63" spans="2:6" x14ac:dyDescent="0.3">
      <c r="B63" s="41">
        <v>34</v>
      </c>
      <c r="C63" s="41" t="s">
        <v>285</v>
      </c>
      <c r="D63" s="41" t="s">
        <v>1986</v>
      </c>
      <c r="E63" s="41">
        <v>2</v>
      </c>
      <c r="F63" s="41" t="s">
        <v>2025</v>
      </c>
    </row>
    <row r="64" spans="2:6" x14ac:dyDescent="0.3">
      <c r="B64" s="41">
        <v>35</v>
      </c>
      <c r="C64" s="41" t="s">
        <v>285</v>
      </c>
      <c r="D64" s="41" t="s">
        <v>1986</v>
      </c>
      <c r="E64" s="41">
        <v>3</v>
      </c>
      <c r="F64" s="41" t="s">
        <v>2026</v>
      </c>
    </row>
    <row r="65" spans="2:6" x14ac:dyDescent="0.3">
      <c r="B65" s="41">
        <v>36</v>
      </c>
      <c r="C65" s="41" t="s">
        <v>285</v>
      </c>
      <c r="D65" s="41" t="s">
        <v>1987</v>
      </c>
      <c r="E65" s="41">
        <v>1</v>
      </c>
      <c r="F65" s="41" t="s">
        <v>2027</v>
      </c>
    </row>
    <row r="66" spans="2:6" x14ac:dyDescent="0.3">
      <c r="B66" s="41">
        <v>37</v>
      </c>
      <c r="C66" s="41" t="s">
        <v>285</v>
      </c>
      <c r="D66" s="41" t="s">
        <v>1987</v>
      </c>
      <c r="E66" s="41">
        <v>2</v>
      </c>
      <c r="F66" s="41" t="s">
        <v>2028</v>
      </c>
    </row>
    <row r="67" spans="2:6" x14ac:dyDescent="0.3">
      <c r="B67" s="41">
        <v>38</v>
      </c>
      <c r="C67" s="41" t="s">
        <v>285</v>
      </c>
      <c r="D67" s="41" t="s">
        <v>1987</v>
      </c>
      <c r="E67" s="41">
        <v>3</v>
      </c>
      <c r="F67" s="41" t="s">
        <v>2029</v>
      </c>
    </row>
    <row r="68" spans="2:6" x14ac:dyDescent="0.3">
      <c r="B68" s="41">
        <v>39</v>
      </c>
      <c r="C68" s="41" t="s">
        <v>285</v>
      </c>
      <c r="D68" s="41" t="s">
        <v>1988</v>
      </c>
      <c r="E68" s="41">
        <v>1</v>
      </c>
      <c r="F68" s="41" t="s">
        <v>2030</v>
      </c>
    </row>
    <row r="69" spans="2:6" x14ac:dyDescent="0.3">
      <c r="B69" s="41">
        <v>40</v>
      </c>
      <c r="C69" s="41" t="s">
        <v>285</v>
      </c>
      <c r="D69" s="41" t="s">
        <v>1988</v>
      </c>
      <c r="E69" s="41">
        <v>2</v>
      </c>
      <c r="F69" s="41" t="s">
        <v>2031</v>
      </c>
    </row>
    <row r="70" spans="2:6" x14ac:dyDescent="0.3">
      <c r="B70" s="41">
        <v>41</v>
      </c>
      <c r="C70" s="41" t="s">
        <v>285</v>
      </c>
      <c r="D70" s="41" t="s">
        <v>1988</v>
      </c>
      <c r="E70" s="41">
        <v>3</v>
      </c>
      <c r="F70" s="41" t="s">
        <v>2032</v>
      </c>
    </row>
    <row r="71" spans="2:6" x14ac:dyDescent="0.3">
      <c r="B71" s="41">
        <v>42</v>
      </c>
      <c r="C71" s="41" t="s">
        <v>285</v>
      </c>
      <c r="D71" s="41" t="s">
        <v>1989</v>
      </c>
      <c r="E71" s="41">
        <v>1</v>
      </c>
      <c r="F71" s="41" t="s">
        <v>2033</v>
      </c>
    </row>
    <row r="72" spans="2:6" x14ac:dyDescent="0.3">
      <c r="B72" s="41">
        <v>43</v>
      </c>
      <c r="C72" s="41" t="s">
        <v>285</v>
      </c>
      <c r="D72" s="41" t="s">
        <v>1989</v>
      </c>
      <c r="E72" s="41">
        <v>2</v>
      </c>
      <c r="F72" s="41" t="s">
        <v>2034</v>
      </c>
    </row>
    <row r="73" spans="2:6" x14ac:dyDescent="0.3">
      <c r="B73" s="41">
        <v>44</v>
      </c>
      <c r="C73" s="41" t="s">
        <v>285</v>
      </c>
      <c r="D73" s="41" t="s">
        <v>1989</v>
      </c>
      <c r="E73" s="41">
        <v>3</v>
      </c>
      <c r="F73" s="41" t="s">
        <v>2035</v>
      </c>
    </row>
    <row r="74" spans="2:6" x14ac:dyDescent="0.3">
      <c r="B74" s="41">
        <v>45</v>
      </c>
      <c r="C74" s="41" t="s">
        <v>285</v>
      </c>
      <c r="D74" s="41" t="s">
        <v>1990</v>
      </c>
      <c r="E74" s="41">
        <v>1</v>
      </c>
      <c r="F74" s="41" t="s">
        <v>2036</v>
      </c>
    </row>
    <row r="75" spans="2:6" x14ac:dyDescent="0.3">
      <c r="B75" s="41">
        <v>46</v>
      </c>
      <c r="C75" s="41" t="s">
        <v>285</v>
      </c>
      <c r="D75" s="41" t="s">
        <v>1990</v>
      </c>
      <c r="E75" s="41">
        <v>2</v>
      </c>
      <c r="F75" s="41" t="s">
        <v>2037</v>
      </c>
    </row>
    <row r="76" spans="2:6" x14ac:dyDescent="0.3">
      <c r="B76" s="41">
        <v>47</v>
      </c>
      <c r="C76" s="41" t="s">
        <v>285</v>
      </c>
      <c r="D76" s="41" t="s">
        <v>1990</v>
      </c>
      <c r="E76" s="41">
        <v>3</v>
      </c>
      <c r="F76" s="41" t="s">
        <v>2038</v>
      </c>
    </row>
    <row r="77" spans="2:6" x14ac:dyDescent="0.3">
      <c r="B77" s="41">
        <v>48</v>
      </c>
      <c r="C77" s="41" t="s">
        <v>285</v>
      </c>
      <c r="D77" s="41" t="s">
        <v>1991</v>
      </c>
      <c r="E77" s="41">
        <v>1</v>
      </c>
      <c r="F77" s="41" t="s">
        <v>2039</v>
      </c>
    </row>
    <row r="78" spans="2:6" x14ac:dyDescent="0.3">
      <c r="B78" s="41">
        <v>49</v>
      </c>
      <c r="C78" s="41" t="s">
        <v>285</v>
      </c>
      <c r="D78" s="41" t="s">
        <v>1991</v>
      </c>
      <c r="E78" s="41">
        <v>2</v>
      </c>
      <c r="F78" s="41" t="s">
        <v>2040</v>
      </c>
    </row>
    <row r="79" spans="2:6" x14ac:dyDescent="0.3">
      <c r="B79" s="39">
        <v>50</v>
      </c>
      <c r="C79" s="39" t="s">
        <v>285</v>
      </c>
      <c r="D79" s="39" t="s">
        <v>1991</v>
      </c>
      <c r="E79" s="39">
        <v>3</v>
      </c>
      <c r="F79" s="39" t="s">
        <v>2041</v>
      </c>
    </row>
    <row r="80" spans="2:6" x14ac:dyDescent="0.3">
      <c r="B80" s="18">
        <v>51</v>
      </c>
      <c r="C80" s="18" t="s">
        <v>285</v>
      </c>
      <c r="D80" s="18" t="s">
        <v>518</v>
      </c>
      <c r="E80" s="18">
        <v>1</v>
      </c>
      <c r="F80" s="8" t="s">
        <v>2042</v>
      </c>
    </row>
    <row r="81" spans="2:6" x14ac:dyDescent="0.3">
      <c r="B81" s="18">
        <v>52</v>
      </c>
      <c r="C81" s="18" t="s">
        <v>285</v>
      </c>
      <c r="D81" s="18" t="s">
        <v>518</v>
      </c>
      <c r="E81" s="18">
        <v>2</v>
      </c>
      <c r="F81" s="8" t="s">
        <v>2043</v>
      </c>
    </row>
    <row r="82" spans="2:6" x14ac:dyDescent="0.3">
      <c r="B82" s="16">
        <v>53</v>
      </c>
      <c r="C82" s="16" t="s">
        <v>285</v>
      </c>
      <c r="D82" s="16" t="s">
        <v>518</v>
      </c>
      <c r="E82" s="16">
        <v>3</v>
      </c>
      <c r="F82" s="17" t="s">
        <v>2044</v>
      </c>
    </row>
  </sheetData>
  <mergeCells count="1">
    <mergeCell ref="B2:F2"/>
  </mergeCells>
  <pageMargins left="0.7" right="0.7" top="0.75" bottom="0.75" header="0.511811023622047" footer="0.511811023622047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2"/>
  <sheetViews>
    <sheetView showGridLines="0" zoomScaleNormal="100" workbookViewId="0">
      <selection activeCell="C3" sqref="C3"/>
    </sheetView>
  </sheetViews>
  <sheetFormatPr defaultColWidth="8.5546875" defaultRowHeight="14.4" x14ac:dyDescent="0.3"/>
  <cols>
    <col min="1" max="1" width="20.109375" customWidth="1"/>
    <col min="2" max="2" width="11.109375" customWidth="1"/>
    <col min="3" max="3" width="21.109375" customWidth="1"/>
  </cols>
  <sheetData>
    <row r="1" spans="1:4" x14ac:dyDescent="0.3">
      <c r="A1" t="s">
        <v>1968</v>
      </c>
      <c r="B1" t="s">
        <v>2045</v>
      </c>
      <c r="C1" t="s">
        <v>1969</v>
      </c>
      <c r="D1" t="s">
        <v>1970</v>
      </c>
    </row>
    <row r="2" spans="1:4" x14ac:dyDescent="0.3">
      <c r="A2" t="s">
        <v>202</v>
      </c>
      <c r="B2" t="s">
        <v>158</v>
      </c>
      <c r="C2" t="s">
        <v>2046</v>
      </c>
      <c r="D2">
        <v>5</v>
      </c>
    </row>
    <row r="3" spans="1:4" x14ac:dyDescent="0.3">
      <c r="A3" t="s">
        <v>456</v>
      </c>
      <c r="B3" t="s">
        <v>158</v>
      </c>
      <c r="C3" t="s">
        <v>1971</v>
      </c>
      <c r="D3">
        <v>3</v>
      </c>
    </row>
    <row r="4" spans="1:4" x14ac:dyDescent="0.3">
      <c r="A4" t="s">
        <v>454</v>
      </c>
      <c r="B4" t="s">
        <v>158</v>
      </c>
      <c r="C4" t="s">
        <v>1971</v>
      </c>
      <c r="D4">
        <v>3</v>
      </c>
    </row>
    <row r="5" spans="1:4" x14ac:dyDescent="0.3">
      <c r="A5" t="s">
        <v>455</v>
      </c>
      <c r="B5" t="s">
        <v>158</v>
      </c>
      <c r="C5" t="s">
        <v>1971</v>
      </c>
      <c r="D5">
        <v>3</v>
      </c>
    </row>
    <row r="6" spans="1:4" x14ac:dyDescent="0.3">
      <c r="A6" t="s">
        <v>453</v>
      </c>
      <c r="B6" t="s">
        <v>158</v>
      </c>
      <c r="C6" t="s">
        <v>1971</v>
      </c>
      <c r="D6">
        <v>3</v>
      </c>
    </row>
    <row r="7" spans="1:4" x14ac:dyDescent="0.3">
      <c r="A7" t="s">
        <v>1104</v>
      </c>
      <c r="B7" t="s">
        <v>174</v>
      </c>
      <c r="C7" t="s">
        <v>1971</v>
      </c>
      <c r="D7">
        <v>3</v>
      </c>
    </row>
    <row r="8" spans="1:4" x14ac:dyDescent="0.3">
      <c r="A8" t="s">
        <v>1102</v>
      </c>
      <c r="B8" t="s">
        <v>174</v>
      </c>
      <c r="C8" t="s">
        <v>1971</v>
      </c>
      <c r="D8">
        <v>3</v>
      </c>
    </row>
    <row r="9" spans="1:4" x14ac:dyDescent="0.3">
      <c r="A9" t="s">
        <v>1105</v>
      </c>
      <c r="B9" t="s">
        <v>174</v>
      </c>
      <c r="C9" t="s">
        <v>1971</v>
      </c>
      <c r="D9">
        <v>3</v>
      </c>
    </row>
    <row r="10" spans="1:4" x14ac:dyDescent="0.3">
      <c r="A10" t="s">
        <v>209</v>
      </c>
      <c r="B10" t="s">
        <v>174</v>
      </c>
      <c r="C10" t="s">
        <v>2046</v>
      </c>
      <c r="D10">
        <v>5</v>
      </c>
    </row>
    <row r="11" spans="1:4" x14ac:dyDescent="0.3">
      <c r="A11" t="s">
        <v>1106</v>
      </c>
      <c r="B11" t="s">
        <v>174</v>
      </c>
      <c r="C11" t="s">
        <v>1971</v>
      </c>
      <c r="D11">
        <v>3</v>
      </c>
    </row>
    <row r="12" spans="1:4" x14ac:dyDescent="0.3">
      <c r="A12" t="s">
        <v>1112</v>
      </c>
      <c r="B12" t="s">
        <v>174</v>
      </c>
      <c r="C12" t="s">
        <v>1971</v>
      </c>
      <c r="D12">
        <v>3</v>
      </c>
    </row>
    <row r="13" spans="1:4" x14ac:dyDescent="0.3">
      <c r="A13" t="s">
        <v>1114</v>
      </c>
      <c r="B13" t="s">
        <v>174</v>
      </c>
      <c r="C13" t="s">
        <v>1971</v>
      </c>
      <c r="D13">
        <v>3</v>
      </c>
    </row>
    <row r="14" spans="1:4" x14ac:dyDescent="0.3">
      <c r="A14" t="s">
        <v>1108</v>
      </c>
      <c r="B14" t="s">
        <v>174</v>
      </c>
      <c r="C14" t="s">
        <v>1971</v>
      </c>
      <c r="D14">
        <v>3</v>
      </c>
    </row>
    <row r="15" spans="1:4" x14ac:dyDescent="0.3">
      <c r="A15" t="s">
        <v>1110</v>
      </c>
      <c r="B15" t="s">
        <v>174</v>
      </c>
      <c r="C15" t="s">
        <v>1971</v>
      </c>
      <c r="D15">
        <v>3</v>
      </c>
    </row>
    <row r="16" spans="1:4" x14ac:dyDescent="0.3">
      <c r="A16" t="s">
        <v>1115</v>
      </c>
      <c r="B16" t="s">
        <v>174</v>
      </c>
      <c r="C16" t="s">
        <v>1971</v>
      </c>
      <c r="D16">
        <v>3</v>
      </c>
    </row>
    <row r="17" spans="1:4" x14ac:dyDescent="0.3">
      <c r="A17" t="s">
        <v>1109</v>
      </c>
      <c r="B17" t="s">
        <v>174</v>
      </c>
      <c r="C17" t="s">
        <v>1971</v>
      </c>
      <c r="D17">
        <v>3</v>
      </c>
    </row>
    <row r="18" spans="1:4" x14ac:dyDescent="0.3">
      <c r="A18" t="s">
        <v>1111</v>
      </c>
      <c r="B18" t="s">
        <v>174</v>
      </c>
      <c r="C18" t="s">
        <v>1971</v>
      </c>
      <c r="D18">
        <v>3</v>
      </c>
    </row>
    <row r="19" spans="1:4" x14ac:dyDescent="0.3">
      <c r="A19" t="s">
        <v>1113</v>
      </c>
      <c r="B19" t="s">
        <v>174</v>
      </c>
      <c r="C19" t="s">
        <v>1971</v>
      </c>
      <c r="D19">
        <v>3</v>
      </c>
    </row>
    <row r="20" spans="1:4" x14ac:dyDescent="0.3">
      <c r="A20" t="s">
        <v>1107</v>
      </c>
      <c r="B20" t="s">
        <v>174</v>
      </c>
      <c r="C20" t="s">
        <v>1971</v>
      </c>
      <c r="D20">
        <v>3</v>
      </c>
    </row>
    <row r="21" spans="1:4" x14ac:dyDescent="0.3">
      <c r="A21" t="s">
        <v>1103</v>
      </c>
      <c r="B21" t="s">
        <v>174</v>
      </c>
      <c r="C21" t="s">
        <v>1971</v>
      </c>
      <c r="D21">
        <v>3</v>
      </c>
    </row>
    <row r="22" spans="1:4" x14ac:dyDescent="0.3">
      <c r="A22" t="s">
        <v>2047</v>
      </c>
      <c r="B22" t="s">
        <v>174</v>
      </c>
      <c r="C22" t="s">
        <v>1971</v>
      </c>
      <c r="D22">
        <v>3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2:D13"/>
  <sheetViews>
    <sheetView showGridLines="0" zoomScaleNormal="100" workbookViewId="0">
      <selection activeCell="C3" sqref="C3"/>
    </sheetView>
  </sheetViews>
  <sheetFormatPr defaultColWidth="8.5546875" defaultRowHeight="14.4" x14ac:dyDescent="0.3"/>
  <cols>
    <col min="2" max="2" width="29" customWidth="1"/>
    <col min="3" max="3" width="10.109375" customWidth="1"/>
    <col min="4" max="4" width="12" customWidth="1"/>
  </cols>
  <sheetData>
    <row r="2" spans="2:4" x14ac:dyDescent="0.3">
      <c r="B2" t="s">
        <v>2048</v>
      </c>
      <c r="C2" t="s">
        <v>2049</v>
      </c>
      <c r="D2" t="s">
        <v>2050</v>
      </c>
    </row>
    <row r="3" spans="2:4" x14ac:dyDescent="0.3">
      <c r="B3" s="181" t="s">
        <v>2051</v>
      </c>
      <c r="C3" t="s">
        <v>2052</v>
      </c>
      <c r="D3" t="s">
        <v>149</v>
      </c>
    </row>
    <row r="4" spans="2:4" x14ac:dyDescent="0.3">
      <c r="B4" s="181" t="s">
        <v>2053</v>
      </c>
      <c r="C4" t="s">
        <v>2054</v>
      </c>
      <c r="D4" t="s">
        <v>149</v>
      </c>
    </row>
    <row r="5" spans="2:4" x14ac:dyDescent="0.3">
      <c r="B5" s="181" t="s">
        <v>1617</v>
      </c>
      <c r="C5" t="s">
        <v>185</v>
      </c>
      <c r="D5" t="s">
        <v>149</v>
      </c>
    </row>
    <row r="6" spans="2:4" x14ac:dyDescent="0.3">
      <c r="B6" s="181" t="s">
        <v>748</v>
      </c>
      <c r="C6" t="s">
        <v>165</v>
      </c>
      <c r="D6" t="s">
        <v>149</v>
      </c>
    </row>
    <row r="7" spans="2:4" x14ac:dyDescent="0.3">
      <c r="B7" s="181" t="s">
        <v>2055</v>
      </c>
      <c r="C7" t="s">
        <v>2056</v>
      </c>
      <c r="D7" t="s">
        <v>149</v>
      </c>
    </row>
    <row r="8" spans="2:4" x14ac:dyDescent="0.3">
      <c r="B8" s="181" t="s">
        <v>2057</v>
      </c>
      <c r="C8" t="s">
        <v>2058</v>
      </c>
      <c r="D8" t="s">
        <v>149</v>
      </c>
    </row>
    <row r="9" spans="2:4" x14ac:dyDescent="0.3">
      <c r="B9" s="181" t="s">
        <v>2059</v>
      </c>
      <c r="C9" t="s">
        <v>2060</v>
      </c>
      <c r="D9" t="s">
        <v>149</v>
      </c>
    </row>
    <row r="10" spans="2:4" x14ac:dyDescent="0.3">
      <c r="B10" s="181" t="s">
        <v>2061</v>
      </c>
      <c r="C10" t="s">
        <v>2062</v>
      </c>
      <c r="D10" t="s">
        <v>149</v>
      </c>
    </row>
    <row r="11" spans="2:4" x14ac:dyDescent="0.3">
      <c r="B11" s="181" t="s">
        <v>2063</v>
      </c>
      <c r="C11" t="s">
        <v>2064</v>
      </c>
      <c r="D11" t="s">
        <v>149</v>
      </c>
    </row>
    <row r="12" spans="2:4" x14ac:dyDescent="0.3">
      <c r="B12" s="181" t="s">
        <v>2065</v>
      </c>
      <c r="C12" t="s">
        <v>184</v>
      </c>
      <c r="D12" t="s">
        <v>149</v>
      </c>
    </row>
    <row r="13" spans="2:4" x14ac:dyDescent="0.3">
      <c r="B13" s="181" t="s">
        <v>2066</v>
      </c>
      <c r="C13" t="s">
        <v>2067</v>
      </c>
      <c r="D13" t="s">
        <v>149</v>
      </c>
    </row>
  </sheetData>
  <pageMargins left="0.7" right="0.7" top="0.75" bottom="0.75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"/>
  <sheetViews>
    <sheetView showGridLines="0" zoomScaleNormal="100" workbookViewId="0">
      <selection activeCell="C3" sqref="C3"/>
    </sheetView>
  </sheetViews>
  <sheetFormatPr defaultColWidth="8.5546875" defaultRowHeight="14.4" x14ac:dyDescent="0.3"/>
  <sheetData/>
  <pageMargins left="0.7" right="0.7" top="0.75" bottom="0.75" header="0.511811023622047" footer="0.511811023622047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zoomScaleNormal="100" workbookViewId="0">
      <selection activeCell="C3" sqref="C3"/>
    </sheetView>
  </sheetViews>
  <sheetFormatPr defaultColWidth="8.5546875" defaultRowHeight="14.4" x14ac:dyDescent="0.3"/>
  <cols>
    <col min="2" max="2" width="9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 s="2">
        <v>45852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3</v>
      </c>
      <c r="B3" s="2">
        <v>46112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3">
      <c r="A4">
        <v>4</v>
      </c>
      <c r="B4" s="2">
        <v>46112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3">
      <c r="A5">
        <v>5</v>
      </c>
      <c r="B5" s="2">
        <v>46112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3">
      <c r="A6">
        <v>6</v>
      </c>
      <c r="B6" s="2">
        <v>46112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3">
      <c r="A7">
        <v>2</v>
      </c>
      <c r="B7" s="2">
        <v>45688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3">
      <c r="A8">
        <v>22</v>
      </c>
      <c r="B8" s="2">
        <v>45852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3">
      <c r="A9">
        <v>23</v>
      </c>
      <c r="B9" s="2">
        <v>45852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3">
      <c r="A10">
        <v>24</v>
      </c>
      <c r="B10" s="2">
        <v>45852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3">
      <c r="A11">
        <v>26</v>
      </c>
      <c r="B11" s="2">
        <v>45852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3">
      <c r="A12">
        <v>27</v>
      </c>
      <c r="B12" s="2">
        <v>45852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3">
      <c r="A13">
        <v>28</v>
      </c>
      <c r="B13" s="2">
        <v>45852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3">
      <c r="A14">
        <v>31</v>
      </c>
      <c r="B14" s="2">
        <v>45852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3">
      <c r="A15">
        <v>32</v>
      </c>
      <c r="B15" s="2">
        <v>45852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3">
      <c r="A16">
        <v>33</v>
      </c>
      <c r="B16" s="2">
        <v>45852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3">
      <c r="A17">
        <v>2</v>
      </c>
      <c r="B17" s="2">
        <v>46082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3">
      <c r="A18">
        <v>3</v>
      </c>
      <c r="B18" s="2">
        <v>46082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3">
      <c r="A19">
        <v>4</v>
      </c>
      <c r="B19" s="2">
        <v>46082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3">
      <c r="A20">
        <v>5</v>
      </c>
      <c r="B20" s="2">
        <v>46082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3">
      <c r="A21">
        <v>6</v>
      </c>
      <c r="B21" s="2">
        <v>46082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3">
      <c r="A22">
        <v>7</v>
      </c>
      <c r="B22" s="2">
        <v>46082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3">
      <c r="A23">
        <v>8</v>
      </c>
      <c r="B23" s="2">
        <v>46082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3">
      <c r="A24">
        <v>9</v>
      </c>
      <c r="B24" s="2">
        <v>46082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3">
      <c r="A25">
        <v>10</v>
      </c>
      <c r="B25" s="2">
        <v>46082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3">
      <c r="A26">
        <v>11</v>
      </c>
      <c r="B26" s="2">
        <v>46082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3">
      <c r="A27">
        <v>12</v>
      </c>
      <c r="B27" s="2">
        <v>46082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3">
      <c r="A28">
        <v>13</v>
      </c>
      <c r="B28" s="2">
        <v>46082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3">
      <c r="A29">
        <v>14</v>
      </c>
      <c r="B29" s="2">
        <v>46082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3">
      <c r="A30">
        <v>15</v>
      </c>
      <c r="B30" s="2">
        <v>46082</v>
      </c>
      <c r="C30" t="s">
        <v>118</v>
      </c>
      <c r="D30" t="s">
        <v>119</v>
      </c>
      <c r="E30" t="s">
        <v>120</v>
      </c>
      <c r="F30" t="s">
        <v>121</v>
      </c>
    </row>
    <row r="31" spans="1:6" x14ac:dyDescent="0.3">
      <c r="A31">
        <v>16</v>
      </c>
      <c r="B31" s="2">
        <v>46082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3">
      <c r="A32">
        <v>17</v>
      </c>
      <c r="B32" s="2">
        <v>46122</v>
      </c>
      <c r="C32" t="s">
        <v>126</v>
      </c>
      <c r="D32" t="s">
        <v>127</v>
      </c>
      <c r="E32" t="s">
        <v>128</v>
      </c>
      <c r="F32" t="s">
        <v>129</v>
      </c>
    </row>
    <row r="33" spans="1:6" x14ac:dyDescent="0.3">
      <c r="A33">
        <v>18</v>
      </c>
      <c r="B33" s="2">
        <v>46122</v>
      </c>
      <c r="C33" t="s">
        <v>130</v>
      </c>
      <c r="D33" t="s">
        <v>131</v>
      </c>
      <c r="E33" t="s">
        <v>132</v>
      </c>
      <c r="F33" t="s">
        <v>133</v>
      </c>
    </row>
    <row r="34" spans="1:6" x14ac:dyDescent="0.3">
      <c r="A34">
        <v>19</v>
      </c>
      <c r="B34" s="2">
        <v>46122</v>
      </c>
      <c r="C34" t="s">
        <v>134</v>
      </c>
      <c r="D34" t="s">
        <v>135</v>
      </c>
      <c r="E34" t="s">
        <v>136</v>
      </c>
      <c r="F34" t="s">
        <v>137</v>
      </c>
    </row>
    <row r="35" spans="1:6" x14ac:dyDescent="0.3">
      <c r="A35">
        <v>2</v>
      </c>
      <c r="B35" s="2">
        <v>46140</v>
      </c>
      <c r="C35" t="s">
        <v>138</v>
      </c>
      <c r="D35" t="s">
        <v>139</v>
      </c>
      <c r="E35" t="s">
        <v>140</v>
      </c>
      <c r="F35" t="s">
        <v>141</v>
      </c>
    </row>
    <row r="36" spans="1:6" x14ac:dyDescent="0.3">
      <c r="A36">
        <v>4</v>
      </c>
      <c r="B36" s="2">
        <v>46140</v>
      </c>
      <c r="C36" t="s">
        <v>142</v>
      </c>
      <c r="D36" t="s">
        <v>143</v>
      </c>
      <c r="E36" t="s">
        <v>144</v>
      </c>
      <c r="F36" t="s">
        <v>145</v>
      </c>
    </row>
    <row r="37" spans="1:6" x14ac:dyDescent="0.3">
      <c r="A37">
        <v>1</v>
      </c>
      <c r="B37" s="2">
        <v>46252</v>
      </c>
      <c r="C37" t="s">
        <v>2073</v>
      </c>
      <c r="D37" t="s">
        <v>2074</v>
      </c>
      <c r="E37" t="s">
        <v>2075</v>
      </c>
      <c r="F37" t="s">
        <v>2076</v>
      </c>
    </row>
    <row r="38" spans="1:6" x14ac:dyDescent="0.3">
      <c r="A38">
        <v>2</v>
      </c>
      <c r="B38" s="2">
        <v>46252</v>
      </c>
      <c r="C38" t="s">
        <v>2077</v>
      </c>
      <c r="D38" t="s">
        <v>2078</v>
      </c>
      <c r="E38" t="s">
        <v>2079</v>
      </c>
      <c r="F38" t="s">
        <v>2080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279"/>
  <sheetViews>
    <sheetView showGridLines="0" zoomScaleNormal="100" workbookViewId="0">
      <pane ySplit="1" topLeftCell="A154" activePane="bottomLeft" state="frozen"/>
      <selection activeCell="C3" sqref="C3"/>
      <selection pane="bottomLeft" activeCell="C3" sqref="C3"/>
    </sheetView>
  </sheetViews>
  <sheetFormatPr defaultColWidth="8.5546875" defaultRowHeight="14.4" x14ac:dyDescent="0.3"/>
  <cols>
    <col min="1" max="1" width="11.33203125" customWidth="1"/>
    <col min="2" max="2" width="25.5546875" customWidth="1"/>
    <col min="3" max="3" width="18" style="196" customWidth="1"/>
    <col min="4" max="4" width="11.88671875" customWidth="1"/>
    <col min="5" max="5" width="15.109375" customWidth="1"/>
    <col min="6" max="6" width="14" customWidth="1"/>
  </cols>
  <sheetData>
    <row r="1" spans="1:6" x14ac:dyDescent="0.3">
      <c r="A1" s="186" t="s">
        <v>151</v>
      </c>
      <c r="B1" s="187" t="s">
        <v>2068</v>
      </c>
      <c r="C1" s="193" t="s">
        <v>2069</v>
      </c>
      <c r="D1" s="187" t="s">
        <v>2070</v>
      </c>
      <c r="E1" s="187" t="s">
        <v>2071</v>
      </c>
      <c r="F1" s="188" t="s">
        <v>2072</v>
      </c>
    </row>
    <row r="2" spans="1:6" hidden="1" x14ac:dyDescent="0.3">
      <c r="A2" s="184" t="s">
        <v>168</v>
      </c>
      <c r="B2" s="182" t="s">
        <v>820</v>
      </c>
      <c r="C2" s="194" t="s">
        <v>147</v>
      </c>
      <c r="D2" s="183">
        <v>0</v>
      </c>
      <c r="E2" s="183">
        <v>1</v>
      </c>
      <c r="F2" s="185">
        <v>1</v>
      </c>
    </row>
    <row r="3" spans="1:6" x14ac:dyDescent="0.3">
      <c r="A3" s="184" t="s">
        <v>164</v>
      </c>
      <c r="B3" s="182" t="s">
        <v>669</v>
      </c>
      <c r="C3" s="194" t="s">
        <v>149</v>
      </c>
      <c r="D3" s="183" t="e">
        <v>#N/A</v>
      </c>
      <c r="E3" s="183" t="e">
        <v>#N/A</v>
      </c>
      <c r="F3" s="185" t="e">
        <v>#N/A</v>
      </c>
    </row>
    <row r="4" spans="1:6" hidden="1" x14ac:dyDescent="0.3">
      <c r="A4" s="184" t="s">
        <v>156</v>
      </c>
      <c r="B4" s="182" t="s">
        <v>394</v>
      </c>
      <c r="C4" s="194" t="s">
        <v>147</v>
      </c>
      <c r="D4" s="183">
        <v>1</v>
      </c>
      <c r="E4" s="183">
        <v>1</v>
      </c>
      <c r="F4" s="185">
        <v>1</v>
      </c>
    </row>
    <row r="5" spans="1:6" hidden="1" x14ac:dyDescent="0.3">
      <c r="A5" s="184" t="s">
        <v>180</v>
      </c>
      <c r="B5" s="182" t="s">
        <v>1423</v>
      </c>
      <c r="C5" s="194" t="s">
        <v>147</v>
      </c>
      <c r="D5" s="183">
        <v>1</v>
      </c>
      <c r="E5" s="183">
        <v>1</v>
      </c>
      <c r="F5" s="185">
        <v>1</v>
      </c>
    </row>
    <row r="6" spans="1:6" hidden="1" x14ac:dyDescent="0.3">
      <c r="A6" s="184" t="s">
        <v>178</v>
      </c>
      <c r="B6" s="182" t="s">
        <v>1283</v>
      </c>
      <c r="C6" s="194" t="s">
        <v>147</v>
      </c>
      <c r="D6" s="183">
        <v>0</v>
      </c>
      <c r="E6" s="183">
        <v>0</v>
      </c>
      <c r="F6" s="185">
        <v>1</v>
      </c>
    </row>
    <row r="7" spans="1:6" hidden="1" x14ac:dyDescent="0.3">
      <c r="A7" s="184" t="s">
        <v>180</v>
      </c>
      <c r="B7" s="182" t="s">
        <v>1424</v>
      </c>
      <c r="C7" s="194" t="s">
        <v>147</v>
      </c>
      <c r="D7" s="183">
        <v>1</v>
      </c>
      <c r="E7" s="183">
        <v>1</v>
      </c>
      <c r="F7" s="185">
        <v>1</v>
      </c>
    </row>
    <row r="8" spans="1:6" hidden="1" x14ac:dyDescent="0.3">
      <c r="A8" s="184" t="s">
        <v>165</v>
      </c>
      <c r="B8" s="182" t="s">
        <v>743</v>
      </c>
      <c r="C8" s="194" t="s">
        <v>147</v>
      </c>
      <c r="D8" s="183">
        <v>0</v>
      </c>
      <c r="E8" s="183">
        <v>0</v>
      </c>
      <c r="F8" s="185">
        <v>1</v>
      </c>
    </row>
    <row r="9" spans="1:6" hidden="1" x14ac:dyDescent="0.3">
      <c r="A9" s="184" t="s">
        <v>153</v>
      </c>
      <c r="B9" s="182" t="s">
        <v>291</v>
      </c>
      <c r="C9" s="194" t="s">
        <v>146</v>
      </c>
      <c r="D9" s="183">
        <v>1</v>
      </c>
      <c r="E9" s="183">
        <v>1</v>
      </c>
      <c r="F9" s="185">
        <v>1</v>
      </c>
    </row>
    <row r="10" spans="1:6" hidden="1" x14ac:dyDescent="0.3">
      <c r="A10" s="184" t="s">
        <v>155</v>
      </c>
      <c r="B10" s="182" t="s">
        <v>352</v>
      </c>
      <c r="C10" s="194" t="s">
        <v>147</v>
      </c>
      <c r="D10" s="183">
        <v>0</v>
      </c>
      <c r="E10" s="183">
        <v>1</v>
      </c>
      <c r="F10" s="185">
        <v>1</v>
      </c>
    </row>
    <row r="11" spans="1:6" hidden="1" x14ac:dyDescent="0.3">
      <c r="A11" s="184" t="s">
        <v>180</v>
      </c>
      <c r="B11" s="182" t="s">
        <v>1425</v>
      </c>
      <c r="C11" s="194" t="s">
        <v>147</v>
      </c>
      <c r="D11" s="183">
        <v>0</v>
      </c>
      <c r="E11" s="183">
        <v>0</v>
      </c>
      <c r="F11" s="185">
        <v>1</v>
      </c>
    </row>
    <row r="12" spans="1:6" hidden="1" x14ac:dyDescent="0.3">
      <c r="A12" s="184" t="s">
        <v>155</v>
      </c>
      <c r="B12" s="182" t="s">
        <v>355</v>
      </c>
      <c r="C12" s="194" t="s">
        <v>147</v>
      </c>
      <c r="D12" s="183">
        <v>0</v>
      </c>
      <c r="E12" s="183">
        <v>1</v>
      </c>
      <c r="F12" s="185">
        <v>1</v>
      </c>
    </row>
    <row r="13" spans="1:6" hidden="1" x14ac:dyDescent="0.3">
      <c r="A13" s="184" t="s">
        <v>155</v>
      </c>
      <c r="B13" s="182" t="s">
        <v>357</v>
      </c>
      <c r="C13" s="194" t="s">
        <v>146</v>
      </c>
      <c r="D13" s="183">
        <v>1</v>
      </c>
      <c r="E13" s="183">
        <v>1</v>
      </c>
      <c r="F13" s="185">
        <v>1</v>
      </c>
    </row>
    <row r="14" spans="1:6" hidden="1" x14ac:dyDescent="0.3">
      <c r="A14" s="184" t="s">
        <v>193</v>
      </c>
      <c r="B14" s="182" t="s">
        <v>1835</v>
      </c>
      <c r="C14" s="194" t="s">
        <v>147</v>
      </c>
      <c r="D14" s="183">
        <v>1</v>
      </c>
      <c r="E14" s="183">
        <v>1</v>
      </c>
      <c r="F14" s="185">
        <v>1</v>
      </c>
    </row>
    <row r="15" spans="1:6" hidden="1" x14ac:dyDescent="0.3">
      <c r="A15" s="184" t="s">
        <v>156</v>
      </c>
      <c r="B15" s="182" t="s">
        <v>395</v>
      </c>
      <c r="C15" s="194" t="s">
        <v>146</v>
      </c>
      <c r="D15" s="183">
        <v>1</v>
      </c>
      <c r="E15" s="183">
        <v>1</v>
      </c>
      <c r="F15" s="185">
        <v>1</v>
      </c>
    </row>
    <row r="16" spans="1:6" hidden="1" x14ac:dyDescent="0.3">
      <c r="A16" s="184" t="s">
        <v>198</v>
      </c>
      <c r="B16" s="182" t="s">
        <v>606</v>
      </c>
      <c r="C16" s="194" t="s">
        <v>147</v>
      </c>
      <c r="D16" s="183">
        <v>0</v>
      </c>
      <c r="E16" s="183">
        <v>1</v>
      </c>
      <c r="F16" s="185">
        <v>1</v>
      </c>
    </row>
    <row r="17" spans="1:6" hidden="1" x14ac:dyDescent="0.3">
      <c r="A17" s="184" t="s">
        <v>157</v>
      </c>
      <c r="B17" s="182" t="s">
        <v>426</v>
      </c>
      <c r="C17" s="194" t="s">
        <v>147</v>
      </c>
      <c r="D17" s="183">
        <v>0</v>
      </c>
      <c r="E17" s="183">
        <v>1</v>
      </c>
      <c r="F17" s="185">
        <v>1</v>
      </c>
    </row>
    <row r="18" spans="1:6" hidden="1" x14ac:dyDescent="0.3">
      <c r="A18" s="184" t="s">
        <v>153</v>
      </c>
      <c r="B18" s="182" t="s">
        <v>292</v>
      </c>
      <c r="C18" s="194" t="s">
        <v>147</v>
      </c>
      <c r="D18" s="183">
        <v>1</v>
      </c>
      <c r="E18" s="183">
        <v>0</v>
      </c>
      <c r="F18" s="185">
        <v>1</v>
      </c>
    </row>
    <row r="19" spans="1:6" x14ac:dyDescent="0.3">
      <c r="A19" s="184" t="s">
        <v>196</v>
      </c>
      <c r="B19" s="182" t="s">
        <v>1948</v>
      </c>
      <c r="C19" s="194" t="s">
        <v>147</v>
      </c>
      <c r="D19" s="183" t="e">
        <v>#N/A</v>
      </c>
      <c r="E19" s="183" t="e">
        <v>#N/A</v>
      </c>
      <c r="F19" s="185" t="e">
        <v>#N/A</v>
      </c>
    </row>
    <row r="20" spans="1:6" hidden="1" x14ac:dyDescent="0.3">
      <c r="A20" s="184" t="s">
        <v>157</v>
      </c>
      <c r="B20" s="182" t="s">
        <v>429</v>
      </c>
      <c r="C20" s="194" t="s">
        <v>147</v>
      </c>
      <c r="D20" s="183">
        <v>0</v>
      </c>
      <c r="E20" s="183">
        <v>1</v>
      </c>
      <c r="F20" s="185">
        <v>1</v>
      </c>
    </row>
    <row r="21" spans="1:6" hidden="1" x14ac:dyDescent="0.3">
      <c r="A21" s="184" t="s">
        <v>155</v>
      </c>
      <c r="B21" s="182" t="s">
        <v>359</v>
      </c>
      <c r="C21" s="194" t="s">
        <v>147</v>
      </c>
      <c r="D21" s="183">
        <v>0</v>
      </c>
      <c r="E21" s="183">
        <v>1</v>
      </c>
      <c r="F21" s="185">
        <v>1</v>
      </c>
    </row>
    <row r="22" spans="1:6" hidden="1" x14ac:dyDescent="0.3">
      <c r="A22" s="184" t="s">
        <v>154</v>
      </c>
      <c r="B22" s="182" t="s">
        <v>325</v>
      </c>
      <c r="C22" s="194" t="s">
        <v>147</v>
      </c>
      <c r="D22" s="183">
        <v>0</v>
      </c>
      <c r="E22" s="183">
        <v>1</v>
      </c>
      <c r="F22" s="185">
        <v>1</v>
      </c>
    </row>
    <row r="23" spans="1:6" hidden="1" x14ac:dyDescent="0.3">
      <c r="A23" s="184" t="s">
        <v>181</v>
      </c>
      <c r="B23" s="182" t="s">
        <v>1497</v>
      </c>
      <c r="C23" s="194" t="s">
        <v>147</v>
      </c>
      <c r="D23" s="183">
        <v>0</v>
      </c>
      <c r="E23" s="183">
        <v>1</v>
      </c>
      <c r="F23" s="185">
        <v>1</v>
      </c>
    </row>
    <row r="24" spans="1:6" hidden="1" x14ac:dyDescent="0.3">
      <c r="A24" s="184" t="s">
        <v>191</v>
      </c>
      <c r="B24" s="182" t="s">
        <v>1767</v>
      </c>
      <c r="C24" s="194" t="s">
        <v>147</v>
      </c>
      <c r="D24" s="183">
        <v>0</v>
      </c>
      <c r="E24" s="183">
        <v>0</v>
      </c>
      <c r="F24" s="185">
        <v>1</v>
      </c>
    </row>
    <row r="25" spans="1:6" hidden="1" x14ac:dyDescent="0.3">
      <c r="A25" s="184" t="s">
        <v>190</v>
      </c>
      <c r="B25" s="182" t="s">
        <v>1745</v>
      </c>
      <c r="C25" s="194" t="s">
        <v>146</v>
      </c>
      <c r="D25" s="183">
        <v>1</v>
      </c>
      <c r="E25" s="183">
        <v>1</v>
      </c>
      <c r="F25" s="185">
        <v>1</v>
      </c>
    </row>
    <row r="26" spans="1:6" hidden="1" x14ac:dyDescent="0.3">
      <c r="A26" s="184" t="s">
        <v>168</v>
      </c>
      <c r="B26" s="182" t="s">
        <v>821</v>
      </c>
      <c r="C26" s="194" t="s">
        <v>147</v>
      </c>
      <c r="D26" s="183">
        <v>0</v>
      </c>
      <c r="E26" s="183">
        <v>1</v>
      </c>
      <c r="F26" s="185">
        <v>1</v>
      </c>
    </row>
    <row r="27" spans="1:6" hidden="1" x14ac:dyDescent="0.3">
      <c r="A27" s="184" t="s">
        <v>155</v>
      </c>
      <c r="B27" s="182" t="s">
        <v>361</v>
      </c>
      <c r="C27" s="194" t="s">
        <v>147</v>
      </c>
      <c r="D27" s="183">
        <v>1</v>
      </c>
      <c r="E27" s="183">
        <v>1</v>
      </c>
      <c r="F27" s="185">
        <v>1</v>
      </c>
    </row>
    <row r="28" spans="1:6" hidden="1" x14ac:dyDescent="0.3">
      <c r="A28" s="184" t="s">
        <v>179</v>
      </c>
      <c r="B28" s="182" t="s">
        <v>1326</v>
      </c>
      <c r="C28" s="194" t="s">
        <v>146</v>
      </c>
      <c r="D28" s="183">
        <v>1</v>
      </c>
      <c r="E28" s="183">
        <v>1</v>
      </c>
      <c r="F28" s="185">
        <v>1</v>
      </c>
    </row>
    <row r="29" spans="1:6" x14ac:dyDescent="0.3">
      <c r="A29" s="184" t="s">
        <v>185</v>
      </c>
      <c r="B29" s="182" t="s">
        <v>1617</v>
      </c>
      <c r="C29" s="194" t="s">
        <v>149</v>
      </c>
      <c r="D29" s="183" t="e">
        <v>#N/A</v>
      </c>
      <c r="E29" s="183" t="e">
        <v>#N/A</v>
      </c>
      <c r="F29" s="185" t="e">
        <v>#N/A</v>
      </c>
    </row>
    <row r="30" spans="1:6" hidden="1" x14ac:dyDescent="0.3">
      <c r="A30" s="184" t="s">
        <v>183</v>
      </c>
      <c r="B30" s="182" t="s">
        <v>1560</v>
      </c>
      <c r="C30" s="194" t="s">
        <v>147</v>
      </c>
      <c r="D30" s="183">
        <v>0</v>
      </c>
      <c r="E30" s="183">
        <v>1</v>
      </c>
      <c r="F30" s="185">
        <v>1</v>
      </c>
    </row>
    <row r="31" spans="1:6" hidden="1" x14ac:dyDescent="0.3">
      <c r="A31" s="184" t="s">
        <v>180</v>
      </c>
      <c r="B31" s="182" t="s">
        <v>1426</v>
      </c>
      <c r="C31" s="194" t="s">
        <v>147</v>
      </c>
      <c r="D31" s="183">
        <v>0</v>
      </c>
      <c r="E31" s="183">
        <v>1</v>
      </c>
      <c r="F31" s="185">
        <v>1</v>
      </c>
    </row>
    <row r="32" spans="1:6" x14ac:dyDescent="0.3">
      <c r="A32" s="184" t="s">
        <v>153</v>
      </c>
      <c r="B32" s="182" t="s">
        <v>293</v>
      </c>
      <c r="C32" s="194" t="s">
        <v>147</v>
      </c>
      <c r="D32" s="183" t="e">
        <v>#N/A</v>
      </c>
      <c r="E32" s="183" t="e">
        <v>#N/A</v>
      </c>
      <c r="F32" s="185" t="e">
        <v>#N/A</v>
      </c>
    </row>
    <row r="33" spans="1:6" x14ac:dyDescent="0.3">
      <c r="A33" s="184" t="s">
        <v>174</v>
      </c>
      <c r="B33" s="182" t="s">
        <v>1102</v>
      </c>
      <c r="C33" s="194" t="s">
        <v>147</v>
      </c>
      <c r="D33" s="183" t="e">
        <v>#N/A</v>
      </c>
      <c r="E33" s="183" t="e">
        <v>#N/A</v>
      </c>
      <c r="F33" s="185" t="e">
        <v>#N/A</v>
      </c>
    </row>
    <row r="34" spans="1:6" x14ac:dyDescent="0.3">
      <c r="A34" s="184" t="s">
        <v>158</v>
      </c>
      <c r="B34" s="182" t="s">
        <v>202</v>
      </c>
      <c r="C34" s="194" t="s">
        <v>146</v>
      </c>
      <c r="D34" s="183" t="e">
        <v>#N/A</v>
      </c>
      <c r="E34" s="183" t="e">
        <v>#N/A</v>
      </c>
      <c r="F34" s="185" t="e">
        <v>#N/A</v>
      </c>
    </row>
    <row r="35" spans="1:6" hidden="1" x14ac:dyDescent="0.3">
      <c r="A35" s="184" t="s">
        <v>194</v>
      </c>
      <c r="B35" s="182" t="s">
        <v>1875</v>
      </c>
      <c r="C35" s="194" t="s">
        <v>147</v>
      </c>
      <c r="D35" s="183">
        <v>0</v>
      </c>
      <c r="E35" s="183">
        <v>1</v>
      </c>
      <c r="F35" s="185">
        <v>1</v>
      </c>
    </row>
    <row r="36" spans="1:6" hidden="1" x14ac:dyDescent="0.3">
      <c r="A36" s="184" t="s">
        <v>194</v>
      </c>
      <c r="B36" s="182" t="s">
        <v>1878</v>
      </c>
      <c r="C36" s="194" t="s">
        <v>147</v>
      </c>
      <c r="D36" s="183">
        <v>0</v>
      </c>
      <c r="E36" s="183">
        <v>0</v>
      </c>
      <c r="F36" s="185">
        <v>1</v>
      </c>
    </row>
    <row r="37" spans="1:6" hidden="1" x14ac:dyDescent="0.3">
      <c r="A37" s="184" t="s">
        <v>191</v>
      </c>
      <c r="B37" s="182" t="s">
        <v>1771</v>
      </c>
      <c r="C37" s="194" t="s">
        <v>147</v>
      </c>
      <c r="D37" s="183">
        <v>0</v>
      </c>
      <c r="E37" s="183">
        <v>1</v>
      </c>
      <c r="F37" s="185">
        <v>1</v>
      </c>
    </row>
    <row r="38" spans="1:6" hidden="1" x14ac:dyDescent="0.3">
      <c r="A38" s="184" t="s">
        <v>183</v>
      </c>
      <c r="B38" s="182" t="s">
        <v>1561</v>
      </c>
      <c r="C38" s="194" t="s">
        <v>147</v>
      </c>
      <c r="D38" s="183">
        <v>0</v>
      </c>
      <c r="E38" s="183">
        <v>0</v>
      </c>
      <c r="F38" s="185">
        <v>1</v>
      </c>
    </row>
    <row r="39" spans="1:6" hidden="1" x14ac:dyDescent="0.3">
      <c r="A39" s="184" t="s">
        <v>164</v>
      </c>
      <c r="B39" s="182" t="s">
        <v>663</v>
      </c>
      <c r="C39" s="194" t="s">
        <v>147</v>
      </c>
      <c r="D39" s="183">
        <v>0</v>
      </c>
      <c r="E39" s="183">
        <v>1</v>
      </c>
      <c r="F39" s="185">
        <v>1</v>
      </c>
    </row>
    <row r="40" spans="1:6" x14ac:dyDescent="0.3">
      <c r="A40" s="184" t="s">
        <v>163</v>
      </c>
      <c r="B40" s="182" t="s">
        <v>695</v>
      </c>
      <c r="C40" s="194" t="s">
        <v>147</v>
      </c>
      <c r="D40" s="183" t="s">
        <v>2295</v>
      </c>
      <c r="E40" s="183" t="e">
        <v>#N/A</v>
      </c>
      <c r="F40" s="185" t="e">
        <v>#N/A</v>
      </c>
    </row>
    <row r="41" spans="1:6" hidden="1" x14ac:dyDescent="0.3">
      <c r="A41" s="184" t="s">
        <v>167</v>
      </c>
      <c r="B41" s="182" t="s">
        <v>786</v>
      </c>
      <c r="C41" s="194" t="s">
        <v>147</v>
      </c>
      <c r="D41" s="183">
        <v>0</v>
      </c>
      <c r="E41" s="183">
        <v>1</v>
      </c>
      <c r="F41" s="185">
        <v>1</v>
      </c>
    </row>
    <row r="42" spans="1:6" hidden="1" x14ac:dyDescent="0.3">
      <c r="A42" s="184" t="s">
        <v>180</v>
      </c>
      <c r="B42" s="182" t="s">
        <v>1427</v>
      </c>
      <c r="C42" s="194" t="s">
        <v>147</v>
      </c>
      <c r="D42" s="183">
        <v>0</v>
      </c>
      <c r="E42" s="183">
        <v>1</v>
      </c>
      <c r="F42" s="185">
        <v>1</v>
      </c>
    </row>
    <row r="43" spans="1:6" hidden="1" x14ac:dyDescent="0.3">
      <c r="A43" s="184" t="s">
        <v>168</v>
      </c>
      <c r="B43" s="182" t="s">
        <v>822</v>
      </c>
      <c r="C43" s="194" t="s">
        <v>147</v>
      </c>
      <c r="D43" s="183">
        <v>0</v>
      </c>
      <c r="E43" s="183">
        <v>1</v>
      </c>
      <c r="F43" s="185">
        <v>1</v>
      </c>
    </row>
    <row r="44" spans="1:6" hidden="1" x14ac:dyDescent="0.3">
      <c r="A44" s="184" t="s">
        <v>194</v>
      </c>
      <c r="B44" s="182" t="s">
        <v>1880</v>
      </c>
      <c r="C44" s="194" t="s">
        <v>147</v>
      </c>
      <c r="D44" s="183">
        <v>0</v>
      </c>
      <c r="E44" s="183">
        <v>0</v>
      </c>
      <c r="F44" s="185">
        <v>1</v>
      </c>
    </row>
    <row r="45" spans="1:6" hidden="1" x14ac:dyDescent="0.3">
      <c r="A45" s="184" t="s">
        <v>160</v>
      </c>
      <c r="B45" s="182" t="s">
        <v>501</v>
      </c>
      <c r="C45" s="194" t="s">
        <v>146</v>
      </c>
      <c r="D45" s="183">
        <v>1</v>
      </c>
      <c r="E45" s="183">
        <v>1</v>
      </c>
      <c r="F45" s="185">
        <v>1</v>
      </c>
    </row>
    <row r="46" spans="1:6" hidden="1" x14ac:dyDescent="0.3">
      <c r="A46" s="184" t="s">
        <v>193</v>
      </c>
      <c r="B46" s="182" t="s">
        <v>1836</v>
      </c>
      <c r="C46" s="194" t="s">
        <v>147</v>
      </c>
      <c r="D46" s="183">
        <v>0</v>
      </c>
      <c r="E46" s="183">
        <v>0</v>
      </c>
      <c r="F46" s="185">
        <v>1</v>
      </c>
    </row>
    <row r="47" spans="1:6" x14ac:dyDescent="0.3">
      <c r="A47" s="184" t="s">
        <v>163</v>
      </c>
      <c r="B47" s="182" t="s">
        <v>696</v>
      </c>
      <c r="C47" s="194" t="s">
        <v>147</v>
      </c>
      <c r="D47" s="183" t="e">
        <v>#N/A</v>
      </c>
      <c r="E47" s="183" t="e">
        <v>#N/A</v>
      </c>
      <c r="F47" s="185" t="e">
        <v>#N/A</v>
      </c>
    </row>
    <row r="48" spans="1:6" hidden="1" x14ac:dyDescent="0.3">
      <c r="A48" s="184" t="s">
        <v>198</v>
      </c>
      <c r="B48" s="182" t="s">
        <v>609</v>
      </c>
      <c r="C48" s="194" t="s">
        <v>147</v>
      </c>
      <c r="D48" s="183">
        <v>0</v>
      </c>
      <c r="E48" s="183">
        <v>1</v>
      </c>
      <c r="F48" s="185">
        <v>1</v>
      </c>
    </row>
    <row r="49" spans="1:6" x14ac:dyDescent="0.3">
      <c r="A49" s="184" t="s">
        <v>180</v>
      </c>
      <c r="B49" s="182" t="s">
        <v>1428</v>
      </c>
      <c r="C49" s="194" t="s">
        <v>148</v>
      </c>
      <c r="D49" s="183" t="e">
        <v>#N/A</v>
      </c>
      <c r="E49" s="183" t="e">
        <v>#N/A</v>
      </c>
      <c r="F49" s="185" t="e">
        <v>#N/A</v>
      </c>
    </row>
    <row r="50" spans="1:6" hidden="1" x14ac:dyDescent="0.3">
      <c r="A50" s="184" t="s">
        <v>167</v>
      </c>
      <c r="B50" s="182" t="s">
        <v>787</v>
      </c>
      <c r="C50" s="194" t="s">
        <v>147</v>
      </c>
      <c r="D50" s="183">
        <v>0</v>
      </c>
      <c r="E50" s="183">
        <v>0</v>
      </c>
      <c r="F50" s="185">
        <v>1</v>
      </c>
    </row>
    <row r="51" spans="1:6" x14ac:dyDescent="0.3">
      <c r="A51" s="184" t="s">
        <v>158</v>
      </c>
      <c r="B51" s="182" t="s">
        <v>453</v>
      </c>
      <c r="C51" s="194" t="s">
        <v>147</v>
      </c>
      <c r="D51" s="183" t="e">
        <v>#N/A</v>
      </c>
      <c r="E51" s="183" t="e">
        <v>#N/A</v>
      </c>
      <c r="F51" s="185" t="e">
        <v>#N/A</v>
      </c>
    </row>
    <row r="52" spans="1:6" hidden="1" x14ac:dyDescent="0.3">
      <c r="A52" s="184" t="s">
        <v>178</v>
      </c>
      <c r="B52" s="182" t="s">
        <v>1284</v>
      </c>
      <c r="C52" s="194" t="s">
        <v>147</v>
      </c>
      <c r="D52" s="183">
        <v>0</v>
      </c>
      <c r="E52" s="183">
        <v>1</v>
      </c>
      <c r="F52" s="185">
        <v>1</v>
      </c>
    </row>
    <row r="53" spans="1:6" hidden="1" x14ac:dyDescent="0.3">
      <c r="A53" s="184" t="s">
        <v>157</v>
      </c>
      <c r="B53" s="182" t="s">
        <v>431</v>
      </c>
      <c r="C53" s="194" t="s">
        <v>146</v>
      </c>
      <c r="D53" s="183">
        <v>1</v>
      </c>
      <c r="E53" s="183">
        <v>1</v>
      </c>
      <c r="F53" s="185">
        <v>1</v>
      </c>
    </row>
    <row r="54" spans="1:6" hidden="1" x14ac:dyDescent="0.3">
      <c r="A54" s="184" t="s">
        <v>167</v>
      </c>
      <c r="B54" s="182" t="s">
        <v>788</v>
      </c>
      <c r="C54" s="194" t="s">
        <v>147</v>
      </c>
      <c r="D54" s="183">
        <v>0</v>
      </c>
      <c r="E54" s="183">
        <v>0</v>
      </c>
      <c r="F54" s="185">
        <v>1</v>
      </c>
    </row>
    <row r="55" spans="1:6" hidden="1" x14ac:dyDescent="0.3">
      <c r="A55" s="184" t="s">
        <v>168</v>
      </c>
      <c r="B55" s="182" t="s">
        <v>823</v>
      </c>
      <c r="C55" s="194" t="s">
        <v>146</v>
      </c>
      <c r="D55" s="183">
        <v>1</v>
      </c>
      <c r="E55" s="183">
        <v>1</v>
      </c>
      <c r="F55" s="185">
        <v>1</v>
      </c>
    </row>
    <row r="56" spans="1:6" hidden="1" x14ac:dyDescent="0.3">
      <c r="A56" s="184" t="s">
        <v>165</v>
      </c>
      <c r="B56" s="182" t="s">
        <v>744</v>
      </c>
      <c r="C56" s="194" t="s">
        <v>147</v>
      </c>
      <c r="D56" s="183">
        <v>0</v>
      </c>
      <c r="E56" s="183">
        <v>1</v>
      </c>
      <c r="F56" s="185">
        <v>1</v>
      </c>
    </row>
    <row r="57" spans="1:6" hidden="1" x14ac:dyDescent="0.3">
      <c r="A57" s="184" t="s">
        <v>153</v>
      </c>
      <c r="B57" s="182" t="s">
        <v>294</v>
      </c>
      <c r="C57" s="194" t="s">
        <v>147</v>
      </c>
      <c r="D57" s="183">
        <v>0</v>
      </c>
      <c r="E57" s="183">
        <v>1</v>
      </c>
      <c r="F57" s="185">
        <v>1</v>
      </c>
    </row>
    <row r="58" spans="1:6" hidden="1" x14ac:dyDescent="0.3">
      <c r="A58" s="184" t="s">
        <v>180</v>
      </c>
      <c r="B58" s="182" t="s">
        <v>1429</v>
      </c>
      <c r="C58" s="194" t="s">
        <v>147</v>
      </c>
      <c r="D58" s="183">
        <v>0</v>
      </c>
      <c r="E58" s="183">
        <v>0</v>
      </c>
      <c r="F58" s="185">
        <v>1</v>
      </c>
    </row>
    <row r="59" spans="1:6" hidden="1" x14ac:dyDescent="0.3">
      <c r="A59" s="184" t="s">
        <v>181</v>
      </c>
      <c r="B59" s="182" t="s">
        <v>1501</v>
      </c>
      <c r="C59" s="194" t="s">
        <v>147</v>
      </c>
      <c r="D59" s="183">
        <v>0</v>
      </c>
      <c r="E59" s="183">
        <v>1</v>
      </c>
      <c r="F59" s="185">
        <v>1</v>
      </c>
    </row>
    <row r="60" spans="1:6" x14ac:dyDescent="0.3">
      <c r="A60" s="184" t="s">
        <v>196</v>
      </c>
      <c r="B60" s="182" t="s">
        <v>1949</v>
      </c>
      <c r="C60" s="194" t="s">
        <v>147</v>
      </c>
      <c r="D60" s="183" t="e">
        <v>#N/A</v>
      </c>
      <c r="E60" s="183" t="e">
        <v>#N/A</v>
      </c>
      <c r="F60" s="185" t="e">
        <v>#N/A</v>
      </c>
    </row>
    <row r="61" spans="1:6" hidden="1" x14ac:dyDescent="0.3">
      <c r="A61" s="184" t="s">
        <v>162</v>
      </c>
      <c r="B61" s="182" t="s">
        <v>204</v>
      </c>
      <c r="C61" s="194" t="s">
        <v>146</v>
      </c>
      <c r="D61" s="183">
        <v>1</v>
      </c>
      <c r="E61" s="183">
        <v>1</v>
      </c>
      <c r="F61" s="185">
        <v>1</v>
      </c>
    </row>
    <row r="62" spans="1:6" hidden="1" x14ac:dyDescent="0.3">
      <c r="A62" s="184" t="s">
        <v>198</v>
      </c>
      <c r="B62" s="182" t="s">
        <v>611</v>
      </c>
      <c r="C62" s="194" t="s">
        <v>146</v>
      </c>
      <c r="D62" s="183">
        <v>1</v>
      </c>
      <c r="E62" s="183">
        <v>1</v>
      </c>
      <c r="F62" s="185">
        <v>1</v>
      </c>
    </row>
    <row r="63" spans="1:6" hidden="1" x14ac:dyDescent="0.3">
      <c r="A63" s="184" t="s">
        <v>173</v>
      </c>
      <c r="B63" s="182" t="s">
        <v>1039</v>
      </c>
      <c r="C63" s="194" t="s">
        <v>147</v>
      </c>
      <c r="D63" s="183">
        <v>0</v>
      </c>
      <c r="E63" s="183">
        <v>0</v>
      </c>
      <c r="F63" s="185">
        <v>1</v>
      </c>
    </row>
    <row r="64" spans="1:6" hidden="1" x14ac:dyDescent="0.3">
      <c r="A64" s="184" t="s">
        <v>174</v>
      </c>
      <c r="B64" s="182" t="s">
        <v>1103</v>
      </c>
      <c r="C64" s="194" t="s">
        <v>147</v>
      </c>
      <c r="D64" s="183">
        <v>0</v>
      </c>
      <c r="E64" s="183">
        <v>0</v>
      </c>
      <c r="F64" s="185">
        <v>1</v>
      </c>
    </row>
    <row r="65" spans="1:6" hidden="1" x14ac:dyDescent="0.3">
      <c r="A65" s="184" t="s">
        <v>174</v>
      </c>
      <c r="B65" s="182" t="s">
        <v>1104</v>
      </c>
      <c r="C65" s="194" t="s">
        <v>147</v>
      </c>
      <c r="D65" s="183">
        <v>1</v>
      </c>
      <c r="E65" s="183">
        <v>0</v>
      </c>
      <c r="F65" s="185">
        <v>1</v>
      </c>
    </row>
    <row r="66" spans="1:6" hidden="1" x14ac:dyDescent="0.3">
      <c r="A66" s="184" t="s">
        <v>157</v>
      </c>
      <c r="B66" s="182" t="s">
        <v>433</v>
      </c>
      <c r="C66" s="194" t="s">
        <v>147</v>
      </c>
      <c r="D66" s="183">
        <v>1</v>
      </c>
      <c r="E66" s="183">
        <v>1</v>
      </c>
      <c r="F66" s="185">
        <v>1</v>
      </c>
    </row>
    <row r="67" spans="1:6" x14ac:dyDescent="0.3">
      <c r="A67" s="184" t="s">
        <v>200</v>
      </c>
      <c r="B67" s="182" t="s">
        <v>1355</v>
      </c>
      <c r="C67" s="194" t="s">
        <v>147</v>
      </c>
      <c r="D67" s="183" t="e">
        <v>#N/A</v>
      </c>
      <c r="E67" s="183" t="e">
        <v>#N/A</v>
      </c>
      <c r="F67" s="185" t="e">
        <v>#N/A</v>
      </c>
    </row>
    <row r="68" spans="1:6" x14ac:dyDescent="0.3">
      <c r="A68" s="184" t="s">
        <v>200</v>
      </c>
      <c r="B68" s="182" t="s">
        <v>1358</v>
      </c>
      <c r="C68" s="194" t="s">
        <v>148</v>
      </c>
      <c r="D68" s="183" t="e">
        <v>#N/A</v>
      </c>
      <c r="E68" s="183" t="e">
        <v>#N/A</v>
      </c>
      <c r="F68" s="185" t="e">
        <v>#N/A</v>
      </c>
    </row>
    <row r="69" spans="1:6" hidden="1" x14ac:dyDescent="0.3">
      <c r="A69" s="184" t="s">
        <v>200</v>
      </c>
      <c r="B69" s="182" t="s">
        <v>1360</v>
      </c>
      <c r="C69" s="194" t="s">
        <v>147</v>
      </c>
      <c r="D69" s="183">
        <v>0</v>
      </c>
      <c r="E69" s="183">
        <v>0</v>
      </c>
      <c r="F69" s="185">
        <v>1</v>
      </c>
    </row>
    <row r="70" spans="1:6" x14ac:dyDescent="0.3">
      <c r="A70" s="184" t="s">
        <v>173</v>
      </c>
      <c r="B70" s="182" t="s">
        <v>1040</v>
      </c>
      <c r="C70" s="194" t="s">
        <v>147</v>
      </c>
      <c r="D70" s="183" t="e">
        <v>#N/A</v>
      </c>
      <c r="E70" s="183" t="e">
        <v>#N/A</v>
      </c>
      <c r="F70" s="185" t="e">
        <v>#N/A</v>
      </c>
    </row>
    <row r="71" spans="1:6" x14ac:dyDescent="0.3">
      <c r="A71" s="184" t="s">
        <v>196</v>
      </c>
      <c r="B71" s="182" t="s">
        <v>1950</v>
      </c>
      <c r="C71" s="194" t="s">
        <v>146</v>
      </c>
      <c r="D71" s="183" t="e">
        <v>#N/A</v>
      </c>
      <c r="E71" s="183" t="e">
        <v>#N/A</v>
      </c>
      <c r="F71" s="185" t="e">
        <v>#N/A</v>
      </c>
    </row>
    <row r="72" spans="1:6" x14ac:dyDescent="0.3">
      <c r="A72" s="184" t="s">
        <v>181</v>
      </c>
      <c r="B72" s="182" t="s">
        <v>1505</v>
      </c>
      <c r="C72" s="194" t="s">
        <v>148</v>
      </c>
      <c r="D72" s="183" t="e">
        <v>#N/A</v>
      </c>
      <c r="E72" s="183" t="e">
        <v>#N/A</v>
      </c>
      <c r="F72" s="185" t="e">
        <v>#N/A</v>
      </c>
    </row>
    <row r="73" spans="1:6" hidden="1" x14ac:dyDescent="0.3">
      <c r="A73" s="184" t="s">
        <v>164</v>
      </c>
      <c r="B73" s="182" t="s">
        <v>664</v>
      </c>
      <c r="C73" s="194" t="s">
        <v>147</v>
      </c>
      <c r="D73" s="183">
        <v>1</v>
      </c>
      <c r="E73" s="183">
        <v>1</v>
      </c>
      <c r="F73" s="185">
        <v>1</v>
      </c>
    </row>
    <row r="74" spans="1:6" hidden="1" x14ac:dyDescent="0.3">
      <c r="A74" s="184" t="s">
        <v>154</v>
      </c>
      <c r="B74" s="182" t="s">
        <v>326</v>
      </c>
      <c r="C74" s="194" t="s">
        <v>147</v>
      </c>
      <c r="D74" s="183">
        <v>0</v>
      </c>
      <c r="E74" s="183">
        <v>0</v>
      </c>
      <c r="F74" s="185">
        <v>1</v>
      </c>
    </row>
    <row r="75" spans="1:6" hidden="1" x14ac:dyDescent="0.3">
      <c r="A75" s="184" t="s">
        <v>154</v>
      </c>
      <c r="B75" s="182" t="s">
        <v>330</v>
      </c>
      <c r="C75" s="194" t="s">
        <v>149</v>
      </c>
      <c r="D75" s="183">
        <v>1</v>
      </c>
      <c r="E75" s="183">
        <v>1</v>
      </c>
      <c r="F75" s="185">
        <v>1</v>
      </c>
    </row>
    <row r="76" spans="1:6" hidden="1" x14ac:dyDescent="0.3">
      <c r="A76" s="184" t="s">
        <v>181</v>
      </c>
      <c r="B76" s="182" t="s">
        <v>1508</v>
      </c>
      <c r="C76" s="194" t="s">
        <v>146</v>
      </c>
      <c r="D76" s="183">
        <v>1</v>
      </c>
      <c r="E76" s="183">
        <v>1</v>
      </c>
      <c r="F76" s="185">
        <v>1</v>
      </c>
    </row>
    <row r="77" spans="1:6" hidden="1" x14ac:dyDescent="0.3">
      <c r="A77" s="184" t="s">
        <v>191</v>
      </c>
      <c r="B77" s="182" t="s">
        <v>1775</v>
      </c>
      <c r="C77" s="194" t="s">
        <v>147</v>
      </c>
      <c r="D77" s="183">
        <v>0</v>
      </c>
      <c r="E77" s="183">
        <v>1</v>
      </c>
      <c r="F77" s="185">
        <v>1</v>
      </c>
    </row>
    <row r="78" spans="1:6" hidden="1" x14ac:dyDescent="0.3">
      <c r="A78" s="184" t="s">
        <v>157</v>
      </c>
      <c r="B78" s="182" t="s">
        <v>435</v>
      </c>
      <c r="C78" s="194" t="s">
        <v>147</v>
      </c>
      <c r="D78" s="183">
        <v>0</v>
      </c>
      <c r="E78" s="183">
        <v>0</v>
      </c>
      <c r="F78" s="185">
        <v>1</v>
      </c>
    </row>
    <row r="79" spans="1:6" hidden="1" x14ac:dyDescent="0.3">
      <c r="A79" s="184" t="s">
        <v>181</v>
      </c>
      <c r="B79" s="182" t="s">
        <v>1515</v>
      </c>
      <c r="C79" s="194" t="s">
        <v>147</v>
      </c>
      <c r="D79" s="183">
        <v>0</v>
      </c>
      <c r="E79" s="183">
        <v>1</v>
      </c>
      <c r="F79" s="185">
        <v>1</v>
      </c>
    </row>
    <row r="80" spans="1:6" hidden="1" x14ac:dyDescent="0.3">
      <c r="A80" s="184" t="s">
        <v>185</v>
      </c>
      <c r="B80" s="182" t="s">
        <v>1613</v>
      </c>
      <c r="C80" s="194" t="s">
        <v>147</v>
      </c>
      <c r="D80" s="183">
        <v>1</v>
      </c>
      <c r="E80" s="183">
        <v>1</v>
      </c>
      <c r="F80" s="185">
        <v>1</v>
      </c>
    </row>
    <row r="81" spans="1:6" hidden="1" x14ac:dyDescent="0.3">
      <c r="A81" s="184" t="s">
        <v>178</v>
      </c>
      <c r="B81" s="182" t="s">
        <v>1285</v>
      </c>
      <c r="C81" s="194" t="s">
        <v>147</v>
      </c>
      <c r="D81" s="183">
        <v>0</v>
      </c>
      <c r="E81" s="183">
        <v>1</v>
      </c>
      <c r="F81" s="185">
        <v>1</v>
      </c>
    </row>
    <row r="82" spans="1:6" hidden="1" x14ac:dyDescent="0.3">
      <c r="A82" s="184" t="s">
        <v>173</v>
      </c>
      <c r="B82" s="182" t="s">
        <v>1041</v>
      </c>
      <c r="C82" s="194" t="s">
        <v>147</v>
      </c>
      <c r="D82" s="183">
        <v>1</v>
      </c>
      <c r="E82" s="183">
        <v>1</v>
      </c>
      <c r="F82" s="185">
        <v>1</v>
      </c>
    </row>
    <row r="83" spans="1:6" hidden="1" x14ac:dyDescent="0.3">
      <c r="A83" s="184" t="s">
        <v>168</v>
      </c>
      <c r="B83" s="182" t="s">
        <v>824</v>
      </c>
      <c r="C83" s="194" t="s">
        <v>147</v>
      </c>
      <c r="D83" s="183">
        <v>0</v>
      </c>
      <c r="E83" s="183">
        <v>1</v>
      </c>
      <c r="F83" s="185">
        <v>1</v>
      </c>
    </row>
    <row r="84" spans="1:6" hidden="1" x14ac:dyDescent="0.3">
      <c r="A84" s="184" t="s">
        <v>178</v>
      </c>
      <c r="B84" s="182" t="s">
        <v>1286</v>
      </c>
      <c r="C84" s="194" t="s">
        <v>147</v>
      </c>
      <c r="D84" s="183">
        <v>0</v>
      </c>
      <c r="E84" s="183">
        <v>1</v>
      </c>
      <c r="F84" s="185">
        <v>1</v>
      </c>
    </row>
    <row r="85" spans="1:6" hidden="1" x14ac:dyDescent="0.3">
      <c r="A85" s="184" t="s">
        <v>164</v>
      </c>
      <c r="B85" s="182" t="s">
        <v>205</v>
      </c>
      <c r="C85" s="194" t="s">
        <v>146</v>
      </c>
      <c r="D85" s="183">
        <v>1</v>
      </c>
      <c r="E85" s="183">
        <v>1</v>
      </c>
      <c r="F85" s="185">
        <v>1</v>
      </c>
    </row>
    <row r="86" spans="1:6" hidden="1" x14ac:dyDescent="0.3">
      <c r="A86" s="184" t="s">
        <v>180</v>
      </c>
      <c r="B86" s="182" t="s">
        <v>1430</v>
      </c>
      <c r="C86" s="194" t="s">
        <v>147</v>
      </c>
      <c r="D86" s="183">
        <v>0</v>
      </c>
      <c r="E86" s="183">
        <v>0</v>
      </c>
      <c r="F86" s="185">
        <v>1</v>
      </c>
    </row>
    <row r="87" spans="1:6" hidden="1" x14ac:dyDescent="0.3">
      <c r="A87" s="184" t="s">
        <v>196</v>
      </c>
      <c r="B87" s="182" t="s">
        <v>1430</v>
      </c>
      <c r="C87" s="194" t="s">
        <v>147</v>
      </c>
      <c r="D87" s="183">
        <v>0</v>
      </c>
      <c r="E87" s="183">
        <v>0</v>
      </c>
      <c r="F87" s="185">
        <v>1</v>
      </c>
    </row>
    <row r="88" spans="1:6" hidden="1" x14ac:dyDescent="0.3">
      <c r="A88" s="184" t="s">
        <v>166</v>
      </c>
      <c r="B88" s="182" t="s">
        <v>208</v>
      </c>
      <c r="C88" s="194" t="s">
        <v>146</v>
      </c>
      <c r="D88" s="183">
        <v>1</v>
      </c>
      <c r="E88" s="183">
        <v>1</v>
      </c>
      <c r="F88" s="185">
        <v>1</v>
      </c>
    </row>
    <row r="89" spans="1:6" hidden="1" x14ac:dyDescent="0.3">
      <c r="A89" s="184" t="s">
        <v>167</v>
      </c>
      <c r="B89" s="182" t="s">
        <v>789</v>
      </c>
      <c r="C89" s="194" t="s">
        <v>147</v>
      </c>
      <c r="D89" s="183">
        <v>0</v>
      </c>
      <c r="E89" s="183">
        <v>1</v>
      </c>
      <c r="F89" s="185">
        <v>1</v>
      </c>
    </row>
    <row r="90" spans="1:6" hidden="1" x14ac:dyDescent="0.3">
      <c r="A90" s="184" t="s">
        <v>156</v>
      </c>
      <c r="B90" s="182" t="s">
        <v>396</v>
      </c>
      <c r="C90" s="194" t="s">
        <v>147</v>
      </c>
      <c r="D90" s="183">
        <v>0</v>
      </c>
      <c r="E90" s="183">
        <v>1</v>
      </c>
      <c r="F90" s="185">
        <v>1</v>
      </c>
    </row>
    <row r="91" spans="1:6" hidden="1" x14ac:dyDescent="0.3">
      <c r="A91" s="184" t="s">
        <v>198</v>
      </c>
      <c r="B91" s="182" t="s">
        <v>613</v>
      </c>
      <c r="C91" s="194" t="s">
        <v>147</v>
      </c>
      <c r="D91" s="183">
        <v>0</v>
      </c>
      <c r="E91" s="183">
        <v>1</v>
      </c>
      <c r="F91" s="185">
        <v>1</v>
      </c>
    </row>
    <row r="92" spans="1:6" hidden="1" x14ac:dyDescent="0.3">
      <c r="A92" s="184" t="s">
        <v>163</v>
      </c>
      <c r="B92" s="182" t="s">
        <v>238</v>
      </c>
      <c r="C92" s="194" t="s">
        <v>146</v>
      </c>
      <c r="D92" s="183">
        <v>1</v>
      </c>
      <c r="E92" s="183">
        <v>1</v>
      </c>
      <c r="F92" s="185">
        <v>1</v>
      </c>
    </row>
    <row r="93" spans="1:6" x14ac:dyDescent="0.3">
      <c r="A93" s="184" t="s">
        <v>158</v>
      </c>
      <c r="B93" s="182" t="s">
        <v>454</v>
      </c>
      <c r="C93" s="194" t="s">
        <v>148</v>
      </c>
      <c r="D93" s="183" t="e">
        <v>#N/A</v>
      </c>
      <c r="E93" s="183" t="e">
        <v>#N/A</v>
      </c>
      <c r="F93" s="185" t="e">
        <v>#N/A</v>
      </c>
    </row>
    <row r="94" spans="1:6" hidden="1" x14ac:dyDescent="0.3">
      <c r="A94" s="184" t="s">
        <v>166</v>
      </c>
      <c r="B94" s="182" t="s">
        <v>771</v>
      </c>
      <c r="C94" s="194" t="s">
        <v>147</v>
      </c>
      <c r="D94" s="183">
        <v>0</v>
      </c>
      <c r="E94" s="183">
        <v>1</v>
      </c>
      <c r="F94" s="185">
        <v>1</v>
      </c>
    </row>
    <row r="95" spans="1:6" x14ac:dyDescent="0.3">
      <c r="A95" s="184" t="s">
        <v>190</v>
      </c>
      <c r="B95" s="182" t="s">
        <v>1746</v>
      </c>
      <c r="C95" s="194" t="s">
        <v>147</v>
      </c>
      <c r="D95" s="183" t="e">
        <v>#N/A</v>
      </c>
      <c r="E95" s="183" t="e">
        <v>#N/A</v>
      </c>
      <c r="F95" s="185" t="e">
        <v>#N/A</v>
      </c>
    </row>
    <row r="96" spans="1:6" x14ac:dyDescent="0.3">
      <c r="A96" s="184" t="s">
        <v>181</v>
      </c>
      <c r="B96" s="182" t="s">
        <v>1519</v>
      </c>
      <c r="C96" s="194" t="s">
        <v>148</v>
      </c>
      <c r="D96" s="183" t="e">
        <v>#N/A</v>
      </c>
      <c r="E96" s="183" t="e">
        <v>#N/A</v>
      </c>
      <c r="F96" s="185" t="e">
        <v>#N/A</v>
      </c>
    </row>
    <row r="97" spans="1:6" hidden="1" x14ac:dyDescent="0.3">
      <c r="A97" s="184" t="s">
        <v>174</v>
      </c>
      <c r="B97" s="182" t="s">
        <v>1105</v>
      </c>
      <c r="C97" s="194" t="s">
        <v>147</v>
      </c>
      <c r="D97" s="183">
        <v>1</v>
      </c>
      <c r="E97" s="183">
        <v>1</v>
      </c>
      <c r="F97" s="185">
        <v>1</v>
      </c>
    </row>
    <row r="98" spans="1:6" hidden="1" x14ac:dyDescent="0.3">
      <c r="A98" s="184" t="s">
        <v>200</v>
      </c>
      <c r="B98" s="182" t="s">
        <v>1363</v>
      </c>
      <c r="C98" s="194" t="s">
        <v>147</v>
      </c>
      <c r="D98" s="183">
        <v>0</v>
      </c>
      <c r="E98" s="183">
        <v>0</v>
      </c>
      <c r="F98" s="185">
        <v>1</v>
      </c>
    </row>
    <row r="99" spans="1:6" hidden="1" x14ac:dyDescent="0.3">
      <c r="A99" s="184" t="s">
        <v>163</v>
      </c>
      <c r="B99" s="182" t="s">
        <v>698</v>
      </c>
      <c r="C99" s="194" t="s">
        <v>147</v>
      </c>
      <c r="D99" s="183">
        <v>1</v>
      </c>
      <c r="E99" s="183">
        <v>1</v>
      </c>
      <c r="F99" s="185">
        <v>1</v>
      </c>
    </row>
    <row r="100" spans="1:6" hidden="1" x14ac:dyDescent="0.3">
      <c r="A100" s="184" t="s">
        <v>183</v>
      </c>
      <c r="B100" s="182" t="s">
        <v>1562</v>
      </c>
      <c r="C100" s="194" t="s">
        <v>147</v>
      </c>
      <c r="D100" s="183">
        <v>0</v>
      </c>
      <c r="E100" s="183">
        <v>1</v>
      </c>
      <c r="F100" s="185">
        <v>1</v>
      </c>
    </row>
    <row r="101" spans="1:6" x14ac:dyDescent="0.3">
      <c r="A101" s="184" t="s">
        <v>163</v>
      </c>
      <c r="B101" s="182" t="s">
        <v>697</v>
      </c>
      <c r="C101" s="194" t="s">
        <v>149</v>
      </c>
      <c r="D101" s="183" t="e">
        <v>#N/A</v>
      </c>
      <c r="E101" s="183" t="e">
        <v>#N/A</v>
      </c>
      <c r="F101" s="185" t="e">
        <v>#N/A</v>
      </c>
    </row>
    <row r="102" spans="1:6" x14ac:dyDescent="0.3">
      <c r="A102" s="184" t="s">
        <v>163</v>
      </c>
      <c r="B102" s="182" t="s">
        <v>697</v>
      </c>
      <c r="C102" s="194" t="s">
        <v>149</v>
      </c>
      <c r="D102" s="183" t="e">
        <v>#N/A</v>
      </c>
      <c r="E102" s="183" t="e">
        <v>#N/A</v>
      </c>
      <c r="F102" s="185" t="e">
        <v>#N/A</v>
      </c>
    </row>
    <row r="103" spans="1:6" x14ac:dyDescent="0.3">
      <c r="A103" s="184" t="s">
        <v>181</v>
      </c>
      <c r="B103" s="182" t="s">
        <v>1521</v>
      </c>
      <c r="C103" s="194" t="s">
        <v>148</v>
      </c>
      <c r="D103" s="183" t="e">
        <v>#N/A</v>
      </c>
      <c r="E103" s="183" t="e">
        <v>#N/A</v>
      </c>
      <c r="F103" s="185" t="e">
        <v>#N/A</v>
      </c>
    </row>
    <row r="104" spans="1:6" hidden="1" x14ac:dyDescent="0.3">
      <c r="A104" s="184" t="s">
        <v>165</v>
      </c>
      <c r="B104" s="182" t="s">
        <v>207</v>
      </c>
      <c r="C104" s="194" t="s">
        <v>146</v>
      </c>
      <c r="D104" s="183">
        <v>1</v>
      </c>
      <c r="E104" s="183">
        <v>1</v>
      </c>
      <c r="F104" s="185">
        <v>1</v>
      </c>
    </row>
    <row r="105" spans="1:6" hidden="1" x14ac:dyDescent="0.3">
      <c r="A105" s="184" t="s">
        <v>174</v>
      </c>
      <c r="B105" s="182" t="s">
        <v>1106</v>
      </c>
      <c r="C105" s="194" t="s">
        <v>147</v>
      </c>
      <c r="D105" s="183">
        <v>1</v>
      </c>
      <c r="E105" s="183">
        <v>1</v>
      </c>
      <c r="F105" s="185">
        <v>1</v>
      </c>
    </row>
    <row r="106" spans="1:6" hidden="1" x14ac:dyDescent="0.3">
      <c r="A106" s="184" t="s">
        <v>166</v>
      </c>
      <c r="B106" s="182" t="s">
        <v>772</v>
      </c>
      <c r="C106" s="194" t="s">
        <v>147</v>
      </c>
      <c r="D106" s="183">
        <v>0</v>
      </c>
      <c r="E106" s="183">
        <v>1</v>
      </c>
      <c r="F106" s="185">
        <v>1</v>
      </c>
    </row>
    <row r="107" spans="1:6" hidden="1" x14ac:dyDescent="0.3">
      <c r="A107" s="184" t="s">
        <v>155</v>
      </c>
      <c r="B107" s="182" t="s">
        <v>363</v>
      </c>
      <c r="C107" s="194" t="s">
        <v>147</v>
      </c>
      <c r="D107" s="183">
        <v>1</v>
      </c>
      <c r="E107" s="183">
        <v>1</v>
      </c>
      <c r="F107" s="185">
        <v>1</v>
      </c>
    </row>
    <row r="108" spans="1:6" hidden="1" x14ac:dyDescent="0.3">
      <c r="A108" s="184" t="s">
        <v>173</v>
      </c>
      <c r="B108" s="182" t="s">
        <v>1042</v>
      </c>
      <c r="C108" s="194" t="s">
        <v>147</v>
      </c>
      <c r="D108" s="183">
        <v>0</v>
      </c>
      <c r="E108" s="183">
        <v>1</v>
      </c>
      <c r="F108" s="185">
        <v>1</v>
      </c>
    </row>
    <row r="109" spans="1:6" hidden="1" x14ac:dyDescent="0.3">
      <c r="A109" s="184" t="s">
        <v>170</v>
      </c>
      <c r="B109" s="182" t="s">
        <v>955</v>
      </c>
      <c r="C109" s="194" t="s">
        <v>147</v>
      </c>
      <c r="D109" s="183">
        <v>0</v>
      </c>
      <c r="E109" s="183">
        <v>1</v>
      </c>
      <c r="F109" s="185">
        <v>1</v>
      </c>
    </row>
    <row r="110" spans="1:6" hidden="1" x14ac:dyDescent="0.3">
      <c r="A110" s="184" t="s">
        <v>164</v>
      </c>
      <c r="B110" s="182" t="s">
        <v>665</v>
      </c>
      <c r="C110" s="194" t="s">
        <v>147</v>
      </c>
      <c r="D110" s="183">
        <v>0</v>
      </c>
      <c r="E110" s="183">
        <v>0</v>
      </c>
      <c r="F110" s="185">
        <v>1</v>
      </c>
    </row>
    <row r="111" spans="1:6" x14ac:dyDescent="0.3">
      <c r="A111" s="184" t="s">
        <v>200</v>
      </c>
      <c r="B111" s="182" t="s">
        <v>1365</v>
      </c>
      <c r="C111" s="194" t="s">
        <v>147</v>
      </c>
      <c r="D111" s="183" t="e">
        <v>#N/A</v>
      </c>
      <c r="E111" s="183" t="e">
        <v>#N/A</v>
      </c>
      <c r="F111" s="185" t="e">
        <v>#N/A</v>
      </c>
    </row>
    <row r="112" spans="1:6" hidden="1" x14ac:dyDescent="0.3">
      <c r="A112" s="184" t="s">
        <v>174</v>
      </c>
      <c r="B112" s="182" t="s">
        <v>1107</v>
      </c>
      <c r="C112" s="194" t="s">
        <v>147</v>
      </c>
      <c r="D112" s="183">
        <v>0</v>
      </c>
      <c r="E112" s="183">
        <v>1</v>
      </c>
      <c r="F112" s="185">
        <v>1</v>
      </c>
    </row>
    <row r="113" spans="1:6" hidden="1" x14ac:dyDescent="0.3">
      <c r="A113" s="184" t="s">
        <v>167</v>
      </c>
      <c r="B113" s="182" t="s">
        <v>785</v>
      </c>
      <c r="C113" s="194" t="s">
        <v>146</v>
      </c>
      <c r="D113" s="183">
        <v>1</v>
      </c>
      <c r="E113" s="183">
        <v>1</v>
      </c>
      <c r="F113" s="185">
        <v>1</v>
      </c>
    </row>
    <row r="114" spans="1:6" hidden="1" x14ac:dyDescent="0.3">
      <c r="A114" s="184" t="s">
        <v>168</v>
      </c>
      <c r="B114" s="182" t="s">
        <v>825</v>
      </c>
      <c r="C114" s="194" t="s">
        <v>146</v>
      </c>
      <c r="D114" s="183">
        <v>1</v>
      </c>
      <c r="E114" s="183">
        <v>1</v>
      </c>
      <c r="F114" s="185">
        <v>1</v>
      </c>
    </row>
    <row r="115" spans="1:6" hidden="1" x14ac:dyDescent="0.3">
      <c r="A115" s="184" t="s">
        <v>191</v>
      </c>
      <c r="B115" s="182" t="s">
        <v>1779</v>
      </c>
      <c r="C115" s="194" t="s">
        <v>146</v>
      </c>
      <c r="D115" s="183">
        <v>1</v>
      </c>
      <c r="E115" s="183">
        <v>1</v>
      </c>
      <c r="F115" s="185">
        <v>1</v>
      </c>
    </row>
    <row r="116" spans="1:6" hidden="1" x14ac:dyDescent="0.3">
      <c r="A116" s="184" t="s">
        <v>162</v>
      </c>
      <c r="B116" s="182" t="s">
        <v>585</v>
      </c>
      <c r="C116" s="194" t="s">
        <v>147</v>
      </c>
      <c r="D116" s="183">
        <v>1</v>
      </c>
      <c r="E116" s="183">
        <v>1</v>
      </c>
      <c r="F116" s="185">
        <v>1</v>
      </c>
    </row>
    <row r="117" spans="1:6" hidden="1" x14ac:dyDescent="0.3">
      <c r="A117" s="184" t="s">
        <v>157</v>
      </c>
      <c r="B117" s="182" t="s">
        <v>437</v>
      </c>
      <c r="C117" s="194" t="s">
        <v>147</v>
      </c>
      <c r="D117" s="183">
        <v>0</v>
      </c>
      <c r="E117" s="183">
        <v>1</v>
      </c>
      <c r="F117" s="185">
        <v>1</v>
      </c>
    </row>
    <row r="118" spans="1:6" hidden="1" x14ac:dyDescent="0.3">
      <c r="A118" s="184" t="s">
        <v>168</v>
      </c>
      <c r="B118" s="182" t="s">
        <v>826</v>
      </c>
      <c r="C118" s="194" t="s">
        <v>147</v>
      </c>
      <c r="D118" s="183">
        <v>0</v>
      </c>
      <c r="E118" s="183">
        <v>1</v>
      </c>
      <c r="F118" s="185">
        <v>1</v>
      </c>
    </row>
    <row r="119" spans="1:6" hidden="1" x14ac:dyDescent="0.3">
      <c r="A119" s="184" t="s">
        <v>170</v>
      </c>
      <c r="B119" s="182" t="s">
        <v>956</v>
      </c>
      <c r="C119" s="194" t="s">
        <v>147</v>
      </c>
      <c r="D119" s="183">
        <v>0</v>
      </c>
      <c r="E119" s="183">
        <v>1</v>
      </c>
      <c r="F119" s="185">
        <v>1</v>
      </c>
    </row>
    <row r="120" spans="1:6" hidden="1" x14ac:dyDescent="0.3">
      <c r="A120" s="184" t="s">
        <v>191</v>
      </c>
      <c r="B120" s="182" t="s">
        <v>1785</v>
      </c>
      <c r="C120" s="194" t="s">
        <v>147</v>
      </c>
      <c r="D120" s="183">
        <v>0</v>
      </c>
      <c r="E120" s="183">
        <v>1</v>
      </c>
      <c r="F120" s="185">
        <v>1</v>
      </c>
    </row>
    <row r="121" spans="1:6" x14ac:dyDescent="0.3">
      <c r="A121" s="184" t="s">
        <v>173</v>
      </c>
      <c r="B121" s="182" t="s">
        <v>1043</v>
      </c>
      <c r="C121" s="194" t="s">
        <v>148</v>
      </c>
      <c r="D121" s="183" t="e">
        <v>#N/A</v>
      </c>
      <c r="E121" s="183" t="e">
        <v>#N/A</v>
      </c>
      <c r="F121" s="185" t="e">
        <v>#N/A</v>
      </c>
    </row>
    <row r="122" spans="1:6" hidden="1" x14ac:dyDescent="0.3">
      <c r="A122" s="184" t="s">
        <v>180</v>
      </c>
      <c r="B122" s="182" t="s">
        <v>1431</v>
      </c>
      <c r="C122" s="194" t="s">
        <v>147</v>
      </c>
      <c r="D122" s="183">
        <v>0</v>
      </c>
      <c r="E122" s="183">
        <v>0</v>
      </c>
      <c r="F122" s="185">
        <v>1</v>
      </c>
    </row>
    <row r="123" spans="1:6" x14ac:dyDescent="0.3">
      <c r="A123" s="184" t="s">
        <v>163</v>
      </c>
      <c r="B123" s="182" t="s">
        <v>699</v>
      </c>
      <c r="C123" s="194" t="s">
        <v>147</v>
      </c>
      <c r="D123" s="183" t="e">
        <v>#N/A</v>
      </c>
      <c r="E123" s="183" t="e">
        <v>#N/A</v>
      </c>
      <c r="F123" s="185" t="e">
        <v>#N/A</v>
      </c>
    </row>
    <row r="124" spans="1:6" hidden="1" x14ac:dyDescent="0.3">
      <c r="A124" s="184" t="s">
        <v>179</v>
      </c>
      <c r="B124" s="182" t="s">
        <v>1327</v>
      </c>
      <c r="C124" s="194" t="s">
        <v>147</v>
      </c>
      <c r="D124" s="183">
        <v>0</v>
      </c>
      <c r="E124" s="183">
        <v>0</v>
      </c>
      <c r="F124" s="185">
        <v>1</v>
      </c>
    </row>
    <row r="125" spans="1:6" hidden="1" x14ac:dyDescent="0.3">
      <c r="A125" s="184" t="s">
        <v>198</v>
      </c>
      <c r="B125" s="182" t="s">
        <v>615</v>
      </c>
      <c r="C125" s="194" t="s">
        <v>147</v>
      </c>
      <c r="D125" s="183">
        <v>0</v>
      </c>
      <c r="E125" s="183">
        <v>1</v>
      </c>
      <c r="F125" s="185">
        <v>1</v>
      </c>
    </row>
    <row r="126" spans="1:6" hidden="1" x14ac:dyDescent="0.3">
      <c r="A126" s="184" t="s">
        <v>162</v>
      </c>
      <c r="B126" s="182" t="s">
        <v>586</v>
      </c>
      <c r="C126" s="194" t="s">
        <v>147</v>
      </c>
      <c r="D126" s="183">
        <v>1</v>
      </c>
      <c r="E126" s="183">
        <v>1</v>
      </c>
      <c r="F126" s="185">
        <v>1</v>
      </c>
    </row>
    <row r="127" spans="1:6" hidden="1" x14ac:dyDescent="0.3">
      <c r="A127" s="184" t="s">
        <v>182</v>
      </c>
      <c r="B127" s="182" t="s">
        <v>1540</v>
      </c>
      <c r="C127" s="194" t="s">
        <v>147</v>
      </c>
      <c r="D127" s="183">
        <v>0</v>
      </c>
      <c r="E127" s="183">
        <v>1</v>
      </c>
      <c r="F127" s="185">
        <v>1</v>
      </c>
    </row>
    <row r="128" spans="1:6" hidden="1" x14ac:dyDescent="0.3">
      <c r="A128" s="184" t="s">
        <v>164</v>
      </c>
      <c r="B128" s="182" t="s">
        <v>666</v>
      </c>
      <c r="C128" s="194" t="s">
        <v>147</v>
      </c>
      <c r="D128" s="183">
        <v>0</v>
      </c>
      <c r="E128" s="183">
        <v>1</v>
      </c>
      <c r="F128" s="185">
        <v>1</v>
      </c>
    </row>
    <row r="129" spans="1:6" hidden="1" x14ac:dyDescent="0.3">
      <c r="A129" s="184" t="s">
        <v>154</v>
      </c>
      <c r="B129" s="182" t="s">
        <v>327</v>
      </c>
      <c r="C129" s="194" t="s">
        <v>146</v>
      </c>
      <c r="D129" s="183">
        <v>1</v>
      </c>
      <c r="E129" s="183">
        <v>1</v>
      </c>
      <c r="F129" s="185">
        <v>1</v>
      </c>
    </row>
    <row r="130" spans="1:6" hidden="1" x14ac:dyDescent="0.3">
      <c r="A130" s="184" t="s">
        <v>191</v>
      </c>
      <c r="B130" s="182" t="s">
        <v>1789</v>
      </c>
      <c r="C130" s="194" t="s">
        <v>147</v>
      </c>
      <c r="D130" s="183">
        <v>0</v>
      </c>
      <c r="E130" s="183">
        <v>0</v>
      </c>
      <c r="F130" s="185">
        <v>1</v>
      </c>
    </row>
    <row r="131" spans="1:6" hidden="1" x14ac:dyDescent="0.3">
      <c r="A131" s="184" t="s">
        <v>198</v>
      </c>
      <c r="B131" s="182" t="s">
        <v>617</v>
      </c>
      <c r="C131" s="194" t="s">
        <v>147</v>
      </c>
      <c r="D131" s="183">
        <v>1</v>
      </c>
      <c r="E131" s="183">
        <v>1</v>
      </c>
      <c r="F131" s="185">
        <v>1</v>
      </c>
    </row>
    <row r="132" spans="1:6" hidden="1" x14ac:dyDescent="0.3">
      <c r="A132" s="184" t="s">
        <v>168</v>
      </c>
      <c r="B132" s="182" t="s">
        <v>827</v>
      </c>
      <c r="C132" s="194" t="s">
        <v>147</v>
      </c>
      <c r="D132" s="183">
        <v>0</v>
      </c>
      <c r="E132" s="183">
        <v>0</v>
      </c>
      <c r="F132" s="185">
        <v>1</v>
      </c>
    </row>
    <row r="133" spans="1:6" hidden="1" x14ac:dyDescent="0.3">
      <c r="A133" s="184" t="s">
        <v>170</v>
      </c>
      <c r="B133" s="182" t="s">
        <v>957</v>
      </c>
      <c r="C133" s="194" t="s">
        <v>147</v>
      </c>
      <c r="D133" s="183">
        <v>0</v>
      </c>
      <c r="E133" s="183">
        <v>0</v>
      </c>
      <c r="F133" s="185">
        <v>1</v>
      </c>
    </row>
    <row r="134" spans="1:6" x14ac:dyDescent="0.3">
      <c r="A134" s="184" t="s">
        <v>163</v>
      </c>
      <c r="B134" s="182" t="s">
        <v>700</v>
      </c>
      <c r="C134" s="194" t="s">
        <v>147</v>
      </c>
      <c r="D134" s="183" t="e">
        <v>#N/A</v>
      </c>
      <c r="E134" s="183" t="e">
        <v>#N/A</v>
      </c>
      <c r="F134" s="185" t="e">
        <v>#N/A</v>
      </c>
    </row>
    <row r="135" spans="1:6" hidden="1" x14ac:dyDescent="0.3">
      <c r="A135" s="184" t="s">
        <v>178</v>
      </c>
      <c r="B135" s="182" t="s">
        <v>1287</v>
      </c>
      <c r="C135" s="194" t="s">
        <v>147</v>
      </c>
      <c r="D135" s="183">
        <v>0</v>
      </c>
      <c r="E135" s="183">
        <v>0</v>
      </c>
      <c r="F135" s="185">
        <v>1</v>
      </c>
    </row>
    <row r="136" spans="1:6" x14ac:dyDescent="0.3">
      <c r="A136" s="184" t="s">
        <v>173</v>
      </c>
      <c r="B136" s="182" t="s">
        <v>1044</v>
      </c>
      <c r="C136" s="194" t="s">
        <v>146</v>
      </c>
      <c r="D136" s="183" t="e">
        <v>#N/A</v>
      </c>
      <c r="E136" s="183" t="e">
        <v>#N/A</v>
      </c>
      <c r="F136" s="185" t="e">
        <v>#N/A</v>
      </c>
    </row>
    <row r="137" spans="1:6" hidden="1" x14ac:dyDescent="0.3">
      <c r="A137" s="184" t="s">
        <v>190</v>
      </c>
      <c r="B137" s="182" t="s">
        <v>1747</v>
      </c>
      <c r="C137" s="194" t="s">
        <v>147</v>
      </c>
      <c r="D137" s="183">
        <v>0</v>
      </c>
      <c r="E137" s="183">
        <v>1</v>
      </c>
      <c r="F137" s="185">
        <v>1</v>
      </c>
    </row>
    <row r="138" spans="1:6" hidden="1" x14ac:dyDescent="0.3">
      <c r="A138" s="184" t="s">
        <v>174</v>
      </c>
      <c r="B138" s="182" t="s">
        <v>1108</v>
      </c>
      <c r="C138" s="194" t="s">
        <v>147</v>
      </c>
      <c r="D138" s="183">
        <v>1</v>
      </c>
      <c r="E138" s="183">
        <v>1</v>
      </c>
      <c r="F138" s="185">
        <v>1</v>
      </c>
    </row>
    <row r="139" spans="1:6" hidden="1" x14ac:dyDescent="0.3">
      <c r="A139" s="184" t="s">
        <v>174</v>
      </c>
      <c r="B139" s="182" t="s">
        <v>209</v>
      </c>
      <c r="C139" s="194" t="s">
        <v>146</v>
      </c>
      <c r="D139" s="183">
        <v>1</v>
      </c>
      <c r="E139" s="183">
        <v>1</v>
      </c>
      <c r="F139" s="185">
        <v>1</v>
      </c>
    </row>
    <row r="140" spans="1:6" hidden="1" x14ac:dyDescent="0.3">
      <c r="A140" s="184" t="s">
        <v>198</v>
      </c>
      <c r="B140" s="182" t="s">
        <v>619</v>
      </c>
      <c r="C140" s="194" t="s">
        <v>147</v>
      </c>
      <c r="D140" s="183">
        <v>0</v>
      </c>
      <c r="E140" s="183">
        <v>1</v>
      </c>
      <c r="F140" s="185">
        <v>1</v>
      </c>
    </row>
    <row r="141" spans="1:6" hidden="1" x14ac:dyDescent="0.3">
      <c r="A141" s="184" t="s">
        <v>200</v>
      </c>
      <c r="B141" s="182" t="s">
        <v>1367</v>
      </c>
      <c r="C141" s="194" t="s">
        <v>148</v>
      </c>
      <c r="D141" s="183">
        <v>0</v>
      </c>
      <c r="E141" s="183">
        <v>0</v>
      </c>
      <c r="F141" s="185">
        <v>1</v>
      </c>
    </row>
    <row r="142" spans="1:6" hidden="1" x14ac:dyDescent="0.3">
      <c r="A142" s="184" t="s">
        <v>198</v>
      </c>
      <c r="B142" s="182" t="s">
        <v>621</v>
      </c>
      <c r="C142" s="194" t="s">
        <v>147</v>
      </c>
      <c r="D142" s="183">
        <v>1</v>
      </c>
      <c r="E142" s="183">
        <v>1</v>
      </c>
      <c r="F142" s="185">
        <v>1</v>
      </c>
    </row>
    <row r="143" spans="1:6" hidden="1" x14ac:dyDescent="0.3">
      <c r="A143" s="184" t="s">
        <v>165</v>
      </c>
      <c r="B143" s="182" t="s">
        <v>745</v>
      </c>
      <c r="C143" s="194" t="s">
        <v>147</v>
      </c>
      <c r="D143" s="183">
        <v>1</v>
      </c>
      <c r="E143" s="183">
        <v>1</v>
      </c>
      <c r="F143" s="185">
        <v>1</v>
      </c>
    </row>
    <row r="144" spans="1:6" x14ac:dyDescent="0.3">
      <c r="A144" s="184" t="s">
        <v>199</v>
      </c>
      <c r="B144" s="182" t="s">
        <v>1407</v>
      </c>
      <c r="C144" s="194" t="s">
        <v>146</v>
      </c>
      <c r="D144" s="183" t="e">
        <v>#N/A</v>
      </c>
      <c r="E144" s="183" t="e">
        <v>#N/A</v>
      </c>
      <c r="F144" s="185" t="e">
        <v>#N/A</v>
      </c>
    </row>
    <row r="145" spans="1:6" x14ac:dyDescent="0.3">
      <c r="A145" s="184" t="s">
        <v>193</v>
      </c>
      <c r="B145" s="182" t="s">
        <v>1837</v>
      </c>
      <c r="C145" s="194" t="s">
        <v>146</v>
      </c>
      <c r="D145" s="183" t="e">
        <v>#N/A</v>
      </c>
      <c r="E145" s="183" t="e">
        <v>#N/A</v>
      </c>
      <c r="F145" s="185" t="e">
        <v>#N/A</v>
      </c>
    </row>
    <row r="146" spans="1:6" hidden="1" x14ac:dyDescent="0.3">
      <c r="A146" s="184" t="s">
        <v>183</v>
      </c>
      <c r="B146" s="182" t="s">
        <v>1563</v>
      </c>
      <c r="C146" s="194" t="s">
        <v>147</v>
      </c>
      <c r="D146" s="183">
        <v>0</v>
      </c>
      <c r="E146" s="183">
        <v>0</v>
      </c>
      <c r="F146" s="185">
        <v>1</v>
      </c>
    </row>
    <row r="147" spans="1:6" hidden="1" x14ac:dyDescent="0.3">
      <c r="A147" s="184" t="s">
        <v>198</v>
      </c>
      <c r="B147" s="182" t="s">
        <v>623</v>
      </c>
      <c r="C147" s="194" t="s">
        <v>147</v>
      </c>
      <c r="D147" s="183">
        <v>0</v>
      </c>
      <c r="E147" s="183">
        <v>1</v>
      </c>
      <c r="F147" s="185">
        <v>1</v>
      </c>
    </row>
    <row r="148" spans="1:6" hidden="1" x14ac:dyDescent="0.3">
      <c r="A148" s="184" t="s">
        <v>168</v>
      </c>
      <c r="B148" s="182" t="s">
        <v>828</v>
      </c>
      <c r="C148" s="194" t="s">
        <v>147</v>
      </c>
      <c r="D148" s="183">
        <v>0</v>
      </c>
      <c r="E148" s="183">
        <v>1</v>
      </c>
      <c r="F148" s="185">
        <v>1</v>
      </c>
    </row>
    <row r="149" spans="1:6" x14ac:dyDescent="0.3">
      <c r="A149" s="184" t="s">
        <v>200</v>
      </c>
      <c r="B149" s="182" t="s">
        <v>1369</v>
      </c>
      <c r="C149" s="194" t="s">
        <v>147</v>
      </c>
      <c r="D149" s="183" t="e">
        <v>#N/A</v>
      </c>
      <c r="E149" s="183" t="e">
        <v>#N/A</v>
      </c>
      <c r="F149" s="185" t="e">
        <v>#N/A</v>
      </c>
    </row>
    <row r="150" spans="1:6" hidden="1" x14ac:dyDescent="0.3">
      <c r="A150" s="184" t="s">
        <v>167</v>
      </c>
      <c r="B150" s="182" t="s">
        <v>790</v>
      </c>
      <c r="C150" s="194" t="s">
        <v>147</v>
      </c>
      <c r="D150" s="183">
        <v>1</v>
      </c>
      <c r="E150" s="183">
        <v>1</v>
      </c>
      <c r="F150" s="185">
        <v>1</v>
      </c>
    </row>
    <row r="151" spans="1:6" hidden="1" x14ac:dyDescent="0.3">
      <c r="A151" s="184" t="s">
        <v>165</v>
      </c>
      <c r="B151" s="182" t="s">
        <v>746</v>
      </c>
      <c r="C151" s="194" t="s">
        <v>147</v>
      </c>
      <c r="D151" s="183">
        <v>1</v>
      </c>
      <c r="E151" s="183">
        <v>1</v>
      </c>
      <c r="F151" s="185">
        <v>1</v>
      </c>
    </row>
    <row r="152" spans="1:6" hidden="1" x14ac:dyDescent="0.3">
      <c r="A152" s="184" t="s">
        <v>153</v>
      </c>
      <c r="B152" s="182" t="s">
        <v>295</v>
      </c>
      <c r="C152" s="194" t="s">
        <v>147</v>
      </c>
      <c r="D152" s="183">
        <v>0</v>
      </c>
      <c r="E152" s="183">
        <v>1</v>
      </c>
      <c r="F152" s="185">
        <v>1</v>
      </c>
    </row>
    <row r="153" spans="1:6" hidden="1" x14ac:dyDescent="0.3">
      <c r="A153" s="184" t="s">
        <v>190</v>
      </c>
      <c r="B153" s="182" t="s">
        <v>1748</v>
      </c>
      <c r="C153" s="194" t="s">
        <v>147</v>
      </c>
      <c r="D153" s="183">
        <v>1</v>
      </c>
      <c r="E153" s="183">
        <v>1</v>
      </c>
      <c r="F153" s="185">
        <v>1</v>
      </c>
    </row>
    <row r="154" spans="1:6" x14ac:dyDescent="0.3">
      <c r="A154" s="184" t="s">
        <v>160</v>
      </c>
      <c r="B154" s="182" t="s">
        <v>516</v>
      </c>
      <c r="C154" s="194" t="s">
        <v>147</v>
      </c>
      <c r="D154" s="183" t="e">
        <v>#N/A</v>
      </c>
      <c r="E154" s="183" t="e">
        <v>#N/A</v>
      </c>
      <c r="F154" s="185" t="e">
        <v>#N/A</v>
      </c>
    </row>
    <row r="155" spans="1:6" hidden="1" x14ac:dyDescent="0.3">
      <c r="A155" s="184" t="s">
        <v>183</v>
      </c>
      <c r="B155" s="182" t="s">
        <v>1564</v>
      </c>
      <c r="C155" s="194" t="s">
        <v>147</v>
      </c>
      <c r="D155" s="183">
        <v>1</v>
      </c>
      <c r="E155" s="183">
        <v>1</v>
      </c>
      <c r="F155" s="185">
        <v>1</v>
      </c>
    </row>
    <row r="156" spans="1:6" x14ac:dyDescent="0.3">
      <c r="A156" s="184" t="s">
        <v>173</v>
      </c>
      <c r="B156" s="182" t="s">
        <v>1045</v>
      </c>
      <c r="C156" s="194" t="s">
        <v>147</v>
      </c>
      <c r="D156" s="183" t="e">
        <v>#N/A</v>
      </c>
      <c r="E156" s="183" t="e">
        <v>#N/A</v>
      </c>
      <c r="F156" s="185" t="e">
        <v>#N/A</v>
      </c>
    </row>
    <row r="157" spans="1:6" hidden="1" x14ac:dyDescent="0.3">
      <c r="A157" s="184" t="s">
        <v>168</v>
      </c>
      <c r="B157" s="182" t="s">
        <v>829</v>
      </c>
      <c r="C157" s="194" t="s">
        <v>147</v>
      </c>
      <c r="D157" s="183">
        <v>0</v>
      </c>
      <c r="E157" s="183">
        <v>0</v>
      </c>
      <c r="F157" s="185">
        <v>1</v>
      </c>
    </row>
    <row r="158" spans="1:6" hidden="1" x14ac:dyDescent="0.3">
      <c r="A158" s="184" t="s">
        <v>198</v>
      </c>
      <c r="B158" s="182" t="s">
        <v>625</v>
      </c>
      <c r="C158" s="194" t="s">
        <v>147</v>
      </c>
      <c r="D158" s="183">
        <v>0</v>
      </c>
      <c r="E158" s="183">
        <v>0</v>
      </c>
      <c r="F158" s="185">
        <v>1</v>
      </c>
    </row>
    <row r="159" spans="1:6" hidden="1" x14ac:dyDescent="0.3">
      <c r="A159" s="184" t="s">
        <v>174</v>
      </c>
      <c r="B159" s="182" t="s">
        <v>1109</v>
      </c>
      <c r="C159" s="194" t="s">
        <v>147</v>
      </c>
      <c r="D159" s="183">
        <v>0</v>
      </c>
      <c r="E159" s="183">
        <v>0</v>
      </c>
      <c r="F159" s="185">
        <v>1</v>
      </c>
    </row>
    <row r="160" spans="1:6" hidden="1" x14ac:dyDescent="0.3">
      <c r="A160" s="184" t="s">
        <v>198</v>
      </c>
      <c r="B160" s="182" t="s">
        <v>627</v>
      </c>
      <c r="C160" s="194" t="s">
        <v>147</v>
      </c>
      <c r="D160" s="183">
        <v>0</v>
      </c>
      <c r="E160" s="183">
        <v>0</v>
      </c>
      <c r="F160" s="185">
        <v>1</v>
      </c>
    </row>
    <row r="161" spans="1:6" hidden="1" x14ac:dyDescent="0.3">
      <c r="A161" s="184" t="s">
        <v>191</v>
      </c>
      <c r="B161" s="182" t="s">
        <v>627</v>
      </c>
      <c r="C161" s="194" t="s">
        <v>147</v>
      </c>
      <c r="D161" s="183">
        <v>0</v>
      </c>
      <c r="E161" s="183">
        <v>0</v>
      </c>
      <c r="F161" s="185">
        <v>1</v>
      </c>
    </row>
    <row r="162" spans="1:6" hidden="1" x14ac:dyDescent="0.3">
      <c r="A162" s="184" t="s">
        <v>198</v>
      </c>
      <c r="B162" s="182" t="s">
        <v>629</v>
      </c>
      <c r="C162" s="194" t="s">
        <v>147</v>
      </c>
      <c r="D162" s="183">
        <v>0</v>
      </c>
      <c r="E162" s="183">
        <v>1</v>
      </c>
      <c r="F162" s="185">
        <v>1</v>
      </c>
    </row>
    <row r="163" spans="1:6" x14ac:dyDescent="0.3">
      <c r="A163" s="184" t="s">
        <v>173</v>
      </c>
      <c r="B163" s="182" t="s">
        <v>1046</v>
      </c>
      <c r="C163" s="194" t="s">
        <v>147</v>
      </c>
      <c r="D163" s="183" t="e">
        <v>#N/A</v>
      </c>
      <c r="E163" s="183" t="e">
        <v>#N/A</v>
      </c>
      <c r="F163" s="185" t="e">
        <v>#N/A</v>
      </c>
    </row>
    <row r="164" spans="1:6" hidden="1" x14ac:dyDescent="0.3">
      <c r="A164" s="184" t="s">
        <v>198</v>
      </c>
      <c r="B164" s="182" t="s">
        <v>631</v>
      </c>
      <c r="C164" s="194" t="s">
        <v>147</v>
      </c>
      <c r="D164" s="183">
        <v>0</v>
      </c>
      <c r="E164" s="183">
        <v>1</v>
      </c>
      <c r="F164" s="185">
        <v>1</v>
      </c>
    </row>
    <row r="165" spans="1:6" hidden="1" x14ac:dyDescent="0.3">
      <c r="A165" s="184" t="s">
        <v>173</v>
      </c>
      <c r="B165" s="182" t="s">
        <v>1047</v>
      </c>
      <c r="C165" s="194" t="s">
        <v>147</v>
      </c>
      <c r="D165" s="183">
        <v>0</v>
      </c>
      <c r="E165" s="183">
        <v>0</v>
      </c>
      <c r="F165" s="185">
        <v>1</v>
      </c>
    </row>
    <row r="166" spans="1:6" hidden="1" x14ac:dyDescent="0.3">
      <c r="A166" s="184" t="s">
        <v>199</v>
      </c>
      <c r="B166" s="182" t="s">
        <v>1408</v>
      </c>
      <c r="C166" s="194" t="s">
        <v>146</v>
      </c>
      <c r="D166" s="183">
        <v>1</v>
      </c>
      <c r="E166" s="183">
        <v>1</v>
      </c>
      <c r="F166" s="185">
        <v>1</v>
      </c>
    </row>
    <row r="167" spans="1:6" x14ac:dyDescent="0.3">
      <c r="A167" s="184" t="s">
        <v>194</v>
      </c>
      <c r="B167" s="182" t="s">
        <v>1882</v>
      </c>
      <c r="C167" s="194" t="s">
        <v>148</v>
      </c>
      <c r="D167" s="183" t="e">
        <v>#N/A</v>
      </c>
      <c r="E167" s="183" t="e">
        <v>#N/A</v>
      </c>
      <c r="F167" s="185" t="e">
        <v>#N/A</v>
      </c>
    </row>
    <row r="168" spans="1:6" x14ac:dyDescent="0.3">
      <c r="A168" s="184" t="s">
        <v>158</v>
      </c>
      <c r="B168" s="182" t="s">
        <v>455</v>
      </c>
      <c r="C168" s="194" t="s">
        <v>147</v>
      </c>
      <c r="D168" s="183" t="e">
        <v>#N/A</v>
      </c>
      <c r="E168" s="183" t="e">
        <v>#N/A</v>
      </c>
      <c r="F168" s="185" t="e">
        <v>#N/A</v>
      </c>
    </row>
    <row r="169" spans="1:6" x14ac:dyDescent="0.3">
      <c r="A169" s="184" t="s">
        <v>173</v>
      </c>
      <c r="B169" s="182" t="s">
        <v>1048</v>
      </c>
      <c r="C169" s="194" t="s">
        <v>148</v>
      </c>
      <c r="D169" s="183" t="e">
        <v>#N/A</v>
      </c>
      <c r="E169" s="183" t="e">
        <v>#N/A</v>
      </c>
      <c r="F169" s="185" t="e">
        <v>#N/A</v>
      </c>
    </row>
    <row r="170" spans="1:6" x14ac:dyDescent="0.3">
      <c r="A170" s="184" t="s">
        <v>174</v>
      </c>
      <c r="B170" s="182" t="s">
        <v>1110</v>
      </c>
      <c r="C170" s="194" t="s">
        <v>147</v>
      </c>
      <c r="D170" s="183" t="e">
        <v>#N/A</v>
      </c>
      <c r="E170" s="183" t="e">
        <v>#N/A</v>
      </c>
      <c r="F170" s="185" t="e">
        <v>#N/A</v>
      </c>
    </row>
    <row r="171" spans="1:6" hidden="1" x14ac:dyDescent="0.3">
      <c r="A171" s="184" t="s">
        <v>181</v>
      </c>
      <c r="B171" s="182" t="s">
        <v>1523</v>
      </c>
      <c r="C171" s="194" t="s">
        <v>147</v>
      </c>
      <c r="D171" s="183">
        <v>0</v>
      </c>
      <c r="E171" s="183">
        <v>1</v>
      </c>
      <c r="F171" s="185">
        <v>1</v>
      </c>
    </row>
    <row r="172" spans="1:6" hidden="1" x14ac:dyDescent="0.3">
      <c r="A172" s="184" t="s">
        <v>178</v>
      </c>
      <c r="B172" s="182" t="s">
        <v>211</v>
      </c>
      <c r="C172" s="194" t="s">
        <v>146</v>
      </c>
      <c r="D172" s="183">
        <v>1</v>
      </c>
      <c r="E172" s="183">
        <v>1</v>
      </c>
      <c r="F172" s="185">
        <v>1</v>
      </c>
    </row>
    <row r="173" spans="1:6" hidden="1" x14ac:dyDescent="0.3">
      <c r="A173" s="184" t="s">
        <v>168</v>
      </c>
      <c r="B173" s="182" t="s">
        <v>830</v>
      </c>
      <c r="C173" s="194" t="s">
        <v>147</v>
      </c>
      <c r="D173" s="183">
        <v>0</v>
      </c>
      <c r="E173" s="183">
        <v>1</v>
      </c>
      <c r="F173" s="185">
        <v>1</v>
      </c>
    </row>
    <row r="174" spans="1:6" hidden="1" x14ac:dyDescent="0.3">
      <c r="A174" s="184" t="s">
        <v>168</v>
      </c>
      <c r="B174" s="182" t="s">
        <v>831</v>
      </c>
      <c r="C174" s="194" t="s">
        <v>147</v>
      </c>
      <c r="D174" s="183">
        <v>0</v>
      </c>
      <c r="E174" s="183">
        <v>0</v>
      </c>
      <c r="F174" s="185">
        <v>1</v>
      </c>
    </row>
    <row r="175" spans="1:6" hidden="1" x14ac:dyDescent="0.3">
      <c r="A175" s="184" t="s">
        <v>180</v>
      </c>
      <c r="B175" s="182" t="s">
        <v>1432</v>
      </c>
      <c r="C175" s="194" t="s">
        <v>147</v>
      </c>
      <c r="D175" s="183">
        <v>0</v>
      </c>
      <c r="E175" s="183">
        <v>0</v>
      </c>
      <c r="F175" s="185">
        <v>1</v>
      </c>
    </row>
    <row r="176" spans="1:6" x14ac:dyDescent="0.3">
      <c r="A176" s="184" t="s">
        <v>173</v>
      </c>
      <c r="B176" s="182" t="s">
        <v>1049</v>
      </c>
      <c r="C176" s="194" t="s">
        <v>148</v>
      </c>
      <c r="D176" s="183" t="e">
        <v>#N/A</v>
      </c>
      <c r="E176" s="183" t="e">
        <v>#N/A</v>
      </c>
      <c r="F176" s="185" t="e">
        <v>#N/A</v>
      </c>
    </row>
    <row r="177" spans="1:6" hidden="1" x14ac:dyDescent="0.3">
      <c r="A177" s="184" t="s">
        <v>153</v>
      </c>
      <c r="B177" s="182" t="s">
        <v>296</v>
      </c>
      <c r="C177" s="194" t="s">
        <v>147</v>
      </c>
      <c r="D177" s="183">
        <v>0</v>
      </c>
      <c r="E177" s="183">
        <v>1</v>
      </c>
      <c r="F177" s="185">
        <v>1</v>
      </c>
    </row>
    <row r="178" spans="1:6" hidden="1" x14ac:dyDescent="0.3">
      <c r="A178" s="184" t="s">
        <v>188</v>
      </c>
      <c r="B178" s="182" t="s">
        <v>1703</v>
      </c>
      <c r="C178" s="194" t="s">
        <v>146</v>
      </c>
      <c r="D178" s="183">
        <v>1</v>
      </c>
      <c r="E178" s="183">
        <v>1</v>
      </c>
      <c r="F178" s="185">
        <v>1</v>
      </c>
    </row>
    <row r="179" spans="1:6" x14ac:dyDescent="0.3">
      <c r="A179" s="184" t="s">
        <v>193</v>
      </c>
      <c r="B179" s="182" t="s">
        <v>1839</v>
      </c>
      <c r="C179" s="194" t="s">
        <v>146</v>
      </c>
      <c r="D179" s="183">
        <v>1</v>
      </c>
      <c r="E179" s="183">
        <v>1</v>
      </c>
      <c r="F179" s="185">
        <v>1</v>
      </c>
    </row>
    <row r="180" spans="1:6" hidden="1" x14ac:dyDescent="0.3">
      <c r="A180" s="184" t="s">
        <v>193</v>
      </c>
      <c r="B180" s="182" t="s">
        <v>1838</v>
      </c>
      <c r="C180" s="194" t="s">
        <v>147</v>
      </c>
      <c r="D180" s="183">
        <v>0</v>
      </c>
      <c r="E180" s="183">
        <v>0</v>
      </c>
      <c r="F180" s="185">
        <v>1</v>
      </c>
    </row>
    <row r="181" spans="1:6" hidden="1" x14ac:dyDescent="0.3">
      <c r="A181" s="184" t="s">
        <v>180</v>
      </c>
      <c r="B181" s="182" t="s">
        <v>1433</v>
      </c>
      <c r="C181" s="194" t="s">
        <v>147</v>
      </c>
      <c r="D181" s="183">
        <v>1</v>
      </c>
      <c r="E181" s="183">
        <v>1</v>
      </c>
      <c r="F181" s="185">
        <v>1</v>
      </c>
    </row>
    <row r="182" spans="1:6" hidden="1" x14ac:dyDescent="0.3">
      <c r="A182" s="184" t="s">
        <v>181</v>
      </c>
      <c r="B182" s="182" t="s">
        <v>1527</v>
      </c>
      <c r="C182" s="194" t="s">
        <v>147</v>
      </c>
      <c r="D182" s="183">
        <v>0</v>
      </c>
      <c r="E182" s="183">
        <v>1</v>
      </c>
      <c r="F182" s="185">
        <v>1</v>
      </c>
    </row>
    <row r="183" spans="1:6" hidden="1" x14ac:dyDescent="0.3">
      <c r="A183" s="184" t="s">
        <v>179</v>
      </c>
      <c r="B183" s="182" t="s">
        <v>1328</v>
      </c>
      <c r="C183" s="194" t="s">
        <v>147</v>
      </c>
      <c r="D183" s="183">
        <v>0</v>
      </c>
      <c r="E183" s="183">
        <v>0</v>
      </c>
      <c r="F183" s="185">
        <v>1</v>
      </c>
    </row>
    <row r="184" spans="1:6" hidden="1" x14ac:dyDescent="0.3">
      <c r="A184" s="184" t="s">
        <v>170</v>
      </c>
      <c r="B184" s="182" t="s">
        <v>958</v>
      </c>
      <c r="C184" s="194" t="s">
        <v>146</v>
      </c>
      <c r="D184" s="183">
        <v>1</v>
      </c>
      <c r="E184" s="183">
        <v>1</v>
      </c>
      <c r="F184" s="185">
        <v>1</v>
      </c>
    </row>
    <row r="185" spans="1:6" hidden="1" x14ac:dyDescent="0.3">
      <c r="A185" s="184" t="s">
        <v>155</v>
      </c>
      <c r="B185" s="182" t="s">
        <v>365</v>
      </c>
      <c r="C185" s="194" t="s">
        <v>147</v>
      </c>
      <c r="D185" s="183">
        <v>0</v>
      </c>
      <c r="E185" s="183">
        <v>1</v>
      </c>
      <c r="F185" s="185">
        <v>1</v>
      </c>
    </row>
    <row r="186" spans="1:6" hidden="1" x14ac:dyDescent="0.3">
      <c r="A186" s="184" t="s">
        <v>185</v>
      </c>
      <c r="B186" s="182" t="s">
        <v>1614</v>
      </c>
      <c r="C186" s="194" t="s">
        <v>147</v>
      </c>
      <c r="D186" s="183">
        <v>0</v>
      </c>
      <c r="E186" s="183">
        <v>0</v>
      </c>
      <c r="F186" s="185">
        <v>1</v>
      </c>
    </row>
    <row r="187" spans="1:6" x14ac:dyDescent="0.3">
      <c r="A187" s="184" t="s">
        <v>174</v>
      </c>
      <c r="B187" s="182" t="s">
        <v>1111</v>
      </c>
      <c r="C187" s="194" t="s">
        <v>147</v>
      </c>
      <c r="D187" s="183" t="e">
        <v>#N/A</v>
      </c>
      <c r="E187" s="183" t="e">
        <v>#N/A</v>
      </c>
      <c r="F187" s="185" t="e">
        <v>#N/A</v>
      </c>
    </row>
    <row r="188" spans="1:6" hidden="1" x14ac:dyDescent="0.3">
      <c r="A188" s="184" t="s">
        <v>168</v>
      </c>
      <c r="B188" s="182" t="s">
        <v>832</v>
      </c>
      <c r="C188" s="194" t="s">
        <v>147</v>
      </c>
      <c r="D188" s="183">
        <v>0</v>
      </c>
      <c r="E188" s="183">
        <v>1</v>
      </c>
      <c r="F188" s="185">
        <v>1</v>
      </c>
    </row>
    <row r="189" spans="1:6" hidden="1" x14ac:dyDescent="0.3">
      <c r="A189" s="184" t="s">
        <v>185</v>
      </c>
      <c r="B189" s="182" t="s">
        <v>1615</v>
      </c>
      <c r="C189" s="194" t="s">
        <v>147</v>
      </c>
      <c r="D189" s="183">
        <v>0</v>
      </c>
      <c r="E189" s="183">
        <v>1</v>
      </c>
      <c r="F189" s="185">
        <v>1</v>
      </c>
    </row>
    <row r="190" spans="1:6" x14ac:dyDescent="0.3">
      <c r="A190" s="184" t="s">
        <v>174</v>
      </c>
      <c r="B190" s="182" t="s">
        <v>1112</v>
      </c>
      <c r="C190" s="194" t="s">
        <v>147</v>
      </c>
      <c r="D190" s="183" t="e">
        <v>#N/A</v>
      </c>
      <c r="E190" s="183" t="e">
        <v>#N/A</v>
      </c>
      <c r="F190" s="185" t="e">
        <v>#N/A</v>
      </c>
    </row>
    <row r="191" spans="1:6" hidden="1" x14ac:dyDescent="0.3">
      <c r="A191" s="184" t="s">
        <v>198</v>
      </c>
      <c r="B191" s="182" t="s">
        <v>633</v>
      </c>
      <c r="C191" s="194" t="s">
        <v>147</v>
      </c>
      <c r="D191" s="183">
        <v>0</v>
      </c>
      <c r="E191" s="183">
        <v>1</v>
      </c>
      <c r="F191" s="185">
        <v>1</v>
      </c>
    </row>
    <row r="192" spans="1:6" x14ac:dyDescent="0.3">
      <c r="A192" s="184" t="s">
        <v>200</v>
      </c>
      <c r="B192" s="182" t="s">
        <v>1371</v>
      </c>
      <c r="C192" s="194" t="s">
        <v>146</v>
      </c>
      <c r="D192" s="183" t="e">
        <v>#N/A</v>
      </c>
      <c r="E192" s="183" t="e">
        <v>#N/A</v>
      </c>
      <c r="F192" s="185" t="e">
        <v>#N/A</v>
      </c>
    </row>
    <row r="193" spans="1:6" x14ac:dyDescent="0.3">
      <c r="A193" s="184" t="s">
        <v>200</v>
      </c>
      <c r="B193" s="182" t="s">
        <v>1373</v>
      </c>
      <c r="C193" s="194" t="s">
        <v>147</v>
      </c>
      <c r="D193" s="183" t="e">
        <v>#N/A</v>
      </c>
      <c r="E193" s="183" t="e">
        <v>#N/A</v>
      </c>
      <c r="F193" s="185" t="e">
        <v>#N/A</v>
      </c>
    </row>
    <row r="194" spans="1:6" hidden="1" x14ac:dyDescent="0.3">
      <c r="A194" s="184" t="s">
        <v>173</v>
      </c>
      <c r="B194" s="182" t="s">
        <v>1050</v>
      </c>
      <c r="C194" s="194" t="s">
        <v>147</v>
      </c>
      <c r="D194" s="183">
        <v>0</v>
      </c>
      <c r="E194" s="183">
        <v>0</v>
      </c>
      <c r="F194" s="185">
        <v>1</v>
      </c>
    </row>
    <row r="195" spans="1:6" hidden="1" x14ac:dyDescent="0.3">
      <c r="A195" s="184" t="s">
        <v>174</v>
      </c>
      <c r="B195" s="182" t="s">
        <v>1113</v>
      </c>
      <c r="C195" s="194" t="s">
        <v>147</v>
      </c>
      <c r="D195" s="183">
        <v>0</v>
      </c>
      <c r="E195" s="183">
        <v>0</v>
      </c>
      <c r="F195" s="185">
        <v>1</v>
      </c>
    </row>
    <row r="196" spans="1:6" x14ac:dyDescent="0.3">
      <c r="A196" s="184" t="s">
        <v>173</v>
      </c>
      <c r="B196" s="182" t="s">
        <v>1051</v>
      </c>
      <c r="C196" s="194" t="s">
        <v>147</v>
      </c>
      <c r="D196" s="183" t="e">
        <v>#N/A</v>
      </c>
      <c r="E196" s="183" t="e">
        <v>#N/A</v>
      </c>
      <c r="F196" s="185" t="e">
        <v>#N/A</v>
      </c>
    </row>
    <row r="197" spans="1:6" hidden="1" x14ac:dyDescent="0.3">
      <c r="A197" s="184" t="s">
        <v>188</v>
      </c>
      <c r="B197" s="182" t="s">
        <v>1704</v>
      </c>
      <c r="C197" s="194" t="s">
        <v>147</v>
      </c>
      <c r="D197" s="183">
        <v>0</v>
      </c>
      <c r="E197" s="183">
        <v>1</v>
      </c>
      <c r="F197" s="185">
        <v>1</v>
      </c>
    </row>
    <row r="198" spans="1:6" x14ac:dyDescent="0.3">
      <c r="A198" s="184" t="s">
        <v>182</v>
      </c>
      <c r="B198" s="182" t="s">
        <v>1541</v>
      </c>
      <c r="C198" s="194" t="s">
        <v>147</v>
      </c>
      <c r="D198" s="183" t="e">
        <v>#N/A</v>
      </c>
      <c r="E198" s="183" t="e">
        <v>#N/A</v>
      </c>
      <c r="F198" s="185" t="e">
        <v>#N/A</v>
      </c>
    </row>
    <row r="199" spans="1:6" hidden="1" x14ac:dyDescent="0.3">
      <c r="A199" s="184" t="s">
        <v>155</v>
      </c>
      <c r="B199" s="182" t="s">
        <v>367</v>
      </c>
      <c r="C199" s="194" t="s">
        <v>147</v>
      </c>
      <c r="D199" s="183">
        <v>0</v>
      </c>
      <c r="E199" s="183">
        <v>1</v>
      </c>
      <c r="F199" s="185">
        <v>1</v>
      </c>
    </row>
    <row r="200" spans="1:6" hidden="1" x14ac:dyDescent="0.3">
      <c r="A200" s="184" t="s">
        <v>180</v>
      </c>
      <c r="B200" s="182" t="s">
        <v>1434</v>
      </c>
      <c r="C200" s="194" t="s">
        <v>147</v>
      </c>
      <c r="D200" s="183">
        <v>1</v>
      </c>
      <c r="E200" s="183">
        <v>1</v>
      </c>
      <c r="F200" s="185">
        <v>1</v>
      </c>
    </row>
    <row r="201" spans="1:6" hidden="1" x14ac:dyDescent="0.3">
      <c r="A201" s="184" t="s">
        <v>180</v>
      </c>
      <c r="B201" s="182" t="s">
        <v>1435</v>
      </c>
      <c r="C201" s="194" t="s">
        <v>146</v>
      </c>
      <c r="D201" s="183">
        <v>1</v>
      </c>
      <c r="E201" s="183">
        <v>1</v>
      </c>
      <c r="F201" s="185">
        <v>1</v>
      </c>
    </row>
    <row r="202" spans="1:6" x14ac:dyDescent="0.3">
      <c r="A202" s="184" t="s">
        <v>156</v>
      </c>
      <c r="B202" s="182" t="s">
        <v>400</v>
      </c>
      <c r="C202" s="194" t="s">
        <v>147</v>
      </c>
      <c r="D202" s="183" t="e">
        <v>#N/A</v>
      </c>
      <c r="E202" s="183" t="e">
        <v>#N/A</v>
      </c>
      <c r="F202" s="185" t="e">
        <v>#N/A</v>
      </c>
    </row>
    <row r="203" spans="1:6" hidden="1" x14ac:dyDescent="0.3">
      <c r="A203" s="184" t="s">
        <v>181</v>
      </c>
      <c r="B203" s="182" t="s">
        <v>1532</v>
      </c>
      <c r="C203" s="194" t="s">
        <v>147</v>
      </c>
      <c r="D203" s="183">
        <v>1</v>
      </c>
      <c r="E203" s="183">
        <v>1</v>
      </c>
      <c r="F203" s="185">
        <v>1</v>
      </c>
    </row>
    <row r="204" spans="1:6" hidden="1" x14ac:dyDescent="0.3">
      <c r="A204" s="184" t="s">
        <v>182</v>
      </c>
      <c r="B204" s="182" t="s">
        <v>212</v>
      </c>
      <c r="C204" s="194" t="s">
        <v>146</v>
      </c>
      <c r="D204" s="183">
        <v>1</v>
      </c>
      <c r="E204" s="183">
        <v>1</v>
      </c>
      <c r="F204" s="185">
        <v>1</v>
      </c>
    </row>
    <row r="205" spans="1:6" hidden="1" x14ac:dyDescent="0.3">
      <c r="A205" s="184" t="s">
        <v>198</v>
      </c>
      <c r="B205" s="182" t="s">
        <v>635</v>
      </c>
      <c r="C205" s="194" t="s">
        <v>147</v>
      </c>
      <c r="D205" s="183">
        <v>0</v>
      </c>
      <c r="E205" s="183">
        <v>1</v>
      </c>
      <c r="F205" s="185">
        <v>1</v>
      </c>
    </row>
    <row r="206" spans="1:6" hidden="1" x14ac:dyDescent="0.3">
      <c r="A206" s="184" t="s">
        <v>154</v>
      </c>
      <c r="B206" s="182" t="s">
        <v>328</v>
      </c>
      <c r="C206" s="194" t="s">
        <v>147</v>
      </c>
      <c r="D206" s="183">
        <v>1</v>
      </c>
      <c r="E206" s="183">
        <v>0</v>
      </c>
      <c r="F206" s="185">
        <v>1</v>
      </c>
    </row>
    <row r="207" spans="1:6" x14ac:dyDescent="0.3">
      <c r="A207" s="184" t="s">
        <v>160</v>
      </c>
      <c r="B207" s="182" t="s">
        <v>503</v>
      </c>
      <c r="C207" s="194" t="s">
        <v>147</v>
      </c>
      <c r="D207" s="183" t="e">
        <v>#N/A</v>
      </c>
      <c r="E207" s="183" t="e">
        <v>#N/A</v>
      </c>
      <c r="F207" s="185" t="e">
        <v>#N/A</v>
      </c>
    </row>
    <row r="208" spans="1:6" hidden="1" x14ac:dyDescent="0.3">
      <c r="A208" s="184" t="s">
        <v>173</v>
      </c>
      <c r="B208" s="182" t="s">
        <v>1052</v>
      </c>
      <c r="C208" s="194" t="s">
        <v>147</v>
      </c>
      <c r="D208" s="183">
        <v>0</v>
      </c>
      <c r="E208" s="183">
        <v>0</v>
      </c>
      <c r="F208" s="185">
        <v>1</v>
      </c>
    </row>
    <row r="209" spans="1:6" hidden="1" x14ac:dyDescent="0.3">
      <c r="A209" s="184" t="s">
        <v>162</v>
      </c>
      <c r="B209" s="182" t="s">
        <v>587</v>
      </c>
      <c r="C209" s="194" t="s">
        <v>147</v>
      </c>
      <c r="D209" s="183">
        <v>0</v>
      </c>
      <c r="E209" s="183">
        <v>0</v>
      </c>
      <c r="F209" s="185">
        <v>1</v>
      </c>
    </row>
    <row r="210" spans="1:6" hidden="1" x14ac:dyDescent="0.3">
      <c r="A210" s="184" t="s">
        <v>180</v>
      </c>
      <c r="B210" s="182" t="s">
        <v>1436</v>
      </c>
      <c r="C210" s="194" t="s">
        <v>147</v>
      </c>
      <c r="D210" s="183">
        <v>0</v>
      </c>
      <c r="E210" s="183">
        <v>0</v>
      </c>
      <c r="F210" s="185">
        <v>1</v>
      </c>
    </row>
    <row r="211" spans="1:6" hidden="1" x14ac:dyDescent="0.3">
      <c r="A211" s="184" t="s">
        <v>174</v>
      </c>
      <c r="B211" s="182" t="s">
        <v>1114</v>
      </c>
      <c r="C211" s="194" t="s">
        <v>147</v>
      </c>
      <c r="D211" s="183">
        <v>0</v>
      </c>
      <c r="E211" s="183">
        <v>0</v>
      </c>
      <c r="F211" s="185">
        <v>1</v>
      </c>
    </row>
    <row r="212" spans="1:6" hidden="1" x14ac:dyDescent="0.3">
      <c r="A212" s="184" t="s">
        <v>178</v>
      </c>
      <c r="B212" s="182" t="s">
        <v>1288</v>
      </c>
      <c r="C212" s="194" t="s">
        <v>147</v>
      </c>
      <c r="D212" s="183">
        <v>0</v>
      </c>
      <c r="E212" s="183">
        <v>1</v>
      </c>
      <c r="F212" s="185">
        <v>1</v>
      </c>
    </row>
    <row r="213" spans="1:6" hidden="1" x14ac:dyDescent="0.3">
      <c r="A213" s="184" t="s">
        <v>168</v>
      </c>
      <c r="B213" s="182" t="s">
        <v>833</v>
      </c>
      <c r="C213" s="194" t="s">
        <v>147</v>
      </c>
      <c r="D213" s="183">
        <v>0</v>
      </c>
      <c r="E213" s="183">
        <v>1</v>
      </c>
      <c r="F213" s="185">
        <v>1</v>
      </c>
    </row>
    <row r="214" spans="1:6" x14ac:dyDescent="0.3">
      <c r="A214" s="184" t="s">
        <v>167</v>
      </c>
      <c r="B214" s="182" t="s">
        <v>791</v>
      </c>
      <c r="C214" s="194" t="s">
        <v>147</v>
      </c>
      <c r="D214" s="183" t="e">
        <v>#N/A</v>
      </c>
      <c r="E214" s="183" t="e">
        <v>#N/A</v>
      </c>
      <c r="F214" s="185" t="e">
        <v>#N/A</v>
      </c>
    </row>
    <row r="215" spans="1:6" hidden="1" x14ac:dyDescent="0.3">
      <c r="A215" s="184" t="s">
        <v>178</v>
      </c>
      <c r="B215" s="182" t="s">
        <v>1289</v>
      </c>
      <c r="C215" s="194" t="s">
        <v>147</v>
      </c>
      <c r="D215" s="183">
        <v>0</v>
      </c>
      <c r="E215" s="183">
        <v>1</v>
      </c>
      <c r="F215" s="185">
        <v>1</v>
      </c>
    </row>
    <row r="216" spans="1:6" hidden="1" x14ac:dyDescent="0.3">
      <c r="A216" s="184" t="s">
        <v>183</v>
      </c>
      <c r="B216" s="182" t="s">
        <v>1565</v>
      </c>
      <c r="C216" s="194" t="s">
        <v>146</v>
      </c>
      <c r="D216" s="183">
        <v>1</v>
      </c>
      <c r="E216" s="183">
        <v>1</v>
      </c>
      <c r="F216" s="185">
        <v>1</v>
      </c>
    </row>
    <row r="217" spans="1:6" hidden="1" x14ac:dyDescent="0.3">
      <c r="A217" s="184" t="s">
        <v>183</v>
      </c>
      <c r="B217" s="182" t="s">
        <v>1566</v>
      </c>
      <c r="C217" s="194" t="s">
        <v>147</v>
      </c>
      <c r="D217" s="183">
        <v>0</v>
      </c>
      <c r="E217" s="183">
        <v>1</v>
      </c>
      <c r="F217" s="185">
        <v>1</v>
      </c>
    </row>
    <row r="218" spans="1:6" hidden="1" x14ac:dyDescent="0.3">
      <c r="A218" s="184" t="s">
        <v>183</v>
      </c>
      <c r="B218" s="182" t="s">
        <v>1567</v>
      </c>
      <c r="C218" s="194" t="s">
        <v>147</v>
      </c>
      <c r="D218" s="183">
        <v>0</v>
      </c>
      <c r="E218" s="183">
        <v>0</v>
      </c>
      <c r="F218" s="185">
        <v>1</v>
      </c>
    </row>
    <row r="219" spans="1:6" hidden="1" x14ac:dyDescent="0.3">
      <c r="A219" s="184" t="s">
        <v>168</v>
      </c>
      <c r="B219" s="182" t="s">
        <v>834</v>
      </c>
      <c r="C219" s="194" t="s">
        <v>147</v>
      </c>
      <c r="D219" s="183">
        <v>0</v>
      </c>
      <c r="E219" s="183">
        <v>0</v>
      </c>
      <c r="F219" s="185">
        <v>1</v>
      </c>
    </row>
    <row r="220" spans="1:6" x14ac:dyDescent="0.3">
      <c r="A220" s="184" t="s">
        <v>163</v>
      </c>
      <c r="B220" s="182" t="s">
        <v>701</v>
      </c>
      <c r="C220" s="194" t="s">
        <v>147</v>
      </c>
      <c r="D220" s="183" t="e">
        <v>#N/A</v>
      </c>
      <c r="E220" s="183" t="e">
        <v>#N/A</v>
      </c>
      <c r="F220" s="185" t="e">
        <v>#N/A</v>
      </c>
    </row>
    <row r="221" spans="1:6" hidden="1" x14ac:dyDescent="0.3">
      <c r="A221" s="184" t="s">
        <v>185</v>
      </c>
      <c r="B221" s="182" t="s">
        <v>213</v>
      </c>
      <c r="C221" s="194" t="s">
        <v>146</v>
      </c>
      <c r="D221" s="183">
        <v>1</v>
      </c>
      <c r="E221" s="183">
        <v>1</v>
      </c>
      <c r="F221" s="185">
        <v>1</v>
      </c>
    </row>
    <row r="222" spans="1:6" hidden="1" x14ac:dyDescent="0.3">
      <c r="A222" s="184" t="s">
        <v>168</v>
      </c>
      <c r="B222" s="182" t="s">
        <v>835</v>
      </c>
      <c r="C222" s="194" t="s">
        <v>147</v>
      </c>
      <c r="D222" s="183">
        <v>0</v>
      </c>
      <c r="E222" s="183">
        <v>0</v>
      </c>
      <c r="F222" s="185">
        <v>1</v>
      </c>
    </row>
    <row r="223" spans="1:6" hidden="1" x14ac:dyDescent="0.3">
      <c r="A223" s="184" t="s">
        <v>180</v>
      </c>
      <c r="B223" s="182" t="s">
        <v>1437</v>
      </c>
      <c r="C223" s="194" t="s">
        <v>147</v>
      </c>
      <c r="D223" s="183">
        <v>0</v>
      </c>
      <c r="E223" s="183">
        <v>1</v>
      </c>
      <c r="F223" s="185">
        <v>1</v>
      </c>
    </row>
    <row r="224" spans="1:6" hidden="1" x14ac:dyDescent="0.3">
      <c r="A224" s="184" t="s">
        <v>182</v>
      </c>
      <c r="B224" s="182" t="s">
        <v>1542</v>
      </c>
      <c r="C224" s="194" t="s">
        <v>147</v>
      </c>
      <c r="D224" s="183">
        <v>0</v>
      </c>
      <c r="E224" s="183">
        <v>1</v>
      </c>
      <c r="F224" s="185">
        <v>1</v>
      </c>
    </row>
    <row r="225" spans="1:6" hidden="1" x14ac:dyDescent="0.3">
      <c r="A225" s="184" t="s">
        <v>162</v>
      </c>
      <c r="B225" s="182" t="s">
        <v>588</v>
      </c>
      <c r="C225" s="194" t="s">
        <v>147</v>
      </c>
      <c r="D225" s="183">
        <v>0</v>
      </c>
      <c r="E225" s="183">
        <v>1</v>
      </c>
      <c r="F225" s="185">
        <v>1</v>
      </c>
    </row>
    <row r="226" spans="1:6" x14ac:dyDescent="0.3">
      <c r="A226" s="184" t="s">
        <v>185</v>
      </c>
      <c r="B226" s="182" t="s">
        <v>1616</v>
      </c>
      <c r="C226" s="194" t="s">
        <v>147</v>
      </c>
      <c r="D226" s="183" t="e">
        <v>#N/A</v>
      </c>
      <c r="E226" s="183" t="e">
        <v>#N/A</v>
      </c>
      <c r="F226" s="185" t="e">
        <v>#N/A</v>
      </c>
    </row>
    <row r="227" spans="1:6" hidden="1" x14ac:dyDescent="0.3">
      <c r="A227" s="184" t="s">
        <v>178</v>
      </c>
      <c r="B227" s="182" t="s">
        <v>1290</v>
      </c>
      <c r="C227" s="194" t="s">
        <v>147</v>
      </c>
      <c r="D227" s="183">
        <v>0</v>
      </c>
      <c r="E227" s="183">
        <v>0</v>
      </c>
      <c r="F227" s="185">
        <v>1</v>
      </c>
    </row>
    <row r="228" spans="1:6" x14ac:dyDescent="0.3">
      <c r="A228" s="184" t="s">
        <v>190</v>
      </c>
      <c r="B228" s="182" t="s">
        <v>1749</v>
      </c>
      <c r="C228" s="194" t="s">
        <v>149</v>
      </c>
      <c r="D228" s="183" t="e">
        <v>#N/A</v>
      </c>
      <c r="E228" s="183" t="e">
        <v>#N/A</v>
      </c>
      <c r="F228" s="185" t="e">
        <v>#N/A</v>
      </c>
    </row>
    <row r="229" spans="1:6" hidden="1" x14ac:dyDescent="0.3">
      <c r="A229" s="184" t="s">
        <v>179</v>
      </c>
      <c r="B229" s="182" t="s">
        <v>1329</v>
      </c>
      <c r="C229" s="194" t="s">
        <v>147</v>
      </c>
      <c r="D229" s="183">
        <v>1</v>
      </c>
      <c r="E229" s="183">
        <v>1</v>
      </c>
      <c r="F229" s="185">
        <v>1</v>
      </c>
    </row>
    <row r="230" spans="1:6" hidden="1" x14ac:dyDescent="0.3">
      <c r="A230" s="184" t="s">
        <v>156</v>
      </c>
      <c r="B230" s="182" t="s">
        <v>397</v>
      </c>
      <c r="C230" s="194" t="s">
        <v>147</v>
      </c>
      <c r="D230" s="183">
        <v>0</v>
      </c>
      <c r="E230" s="183">
        <v>1</v>
      </c>
      <c r="F230" s="185">
        <v>1</v>
      </c>
    </row>
    <row r="231" spans="1:6" hidden="1" x14ac:dyDescent="0.3">
      <c r="A231" s="184" t="s">
        <v>199</v>
      </c>
      <c r="B231" s="182" t="s">
        <v>1410</v>
      </c>
      <c r="C231" s="194" t="s">
        <v>146</v>
      </c>
      <c r="D231" s="183">
        <v>1</v>
      </c>
      <c r="E231" s="183">
        <v>0</v>
      </c>
      <c r="F231" s="185">
        <v>1</v>
      </c>
    </row>
    <row r="232" spans="1:6" hidden="1" x14ac:dyDescent="0.3">
      <c r="A232" s="184" t="s">
        <v>165</v>
      </c>
      <c r="B232" s="182" t="s">
        <v>747</v>
      </c>
      <c r="C232" s="194" t="s">
        <v>147</v>
      </c>
      <c r="D232" s="183">
        <v>0</v>
      </c>
      <c r="E232" s="183">
        <v>0</v>
      </c>
      <c r="F232" s="185">
        <v>1</v>
      </c>
    </row>
    <row r="233" spans="1:6" hidden="1" x14ac:dyDescent="0.3">
      <c r="A233" s="184" t="s">
        <v>168</v>
      </c>
      <c r="B233" s="182" t="s">
        <v>836</v>
      </c>
      <c r="C233" s="194" t="s">
        <v>147</v>
      </c>
      <c r="D233" s="183">
        <v>0</v>
      </c>
      <c r="E233" s="183">
        <v>1</v>
      </c>
      <c r="F233" s="185">
        <v>1</v>
      </c>
    </row>
    <row r="234" spans="1:6" x14ac:dyDescent="0.3">
      <c r="A234" s="184" t="s">
        <v>160</v>
      </c>
      <c r="B234" s="182" t="s">
        <v>507</v>
      </c>
      <c r="C234" s="194" t="s">
        <v>147</v>
      </c>
      <c r="D234" s="183" t="e">
        <v>#N/A</v>
      </c>
      <c r="E234" s="183" t="e">
        <v>#N/A</v>
      </c>
      <c r="F234" s="185" t="e">
        <v>#N/A</v>
      </c>
    </row>
    <row r="235" spans="1:6" x14ac:dyDescent="0.3">
      <c r="A235" s="184" t="s">
        <v>160</v>
      </c>
      <c r="B235" s="182" t="s">
        <v>509</v>
      </c>
      <c r="C235" s="194" t="s">
        <v>147</v>
      </c>
      <c r="D235" s="183" t="e">
        <v>#N/A</v>
      </c>
      <c r="E235" s="183" t="e">
        <v>#N/A</v>
      </c>
      <c r="F235" s="185" t="e">
        <v>#N/A</v>
      </c>
    </row>
    <row r="236" spans="1:6" x14ac:dyDescent="0.3">
      <c r="A236" s="184" t="s">
        <v>160</v>
      </c>
      <c r="B236" s="182" t="s">
        <v>505</v>
      </c>
      <c r="C236" s="194" t="s">
        <v>147</v>
      </c>
      <c r="D236" s="183" t="e">
        <v>#N/A</v>
      </c>
      <c r="E236" s="183" t="e">
        <v>#N/A</v>
      </c>
      <c r="F236" s="185" t="e">
        <v>#N/A</v>
      </c>
    </row>
    <row r="237" spans="1:6" x14ac:dyDescent="0.3">
      <c r="A237" s="184" t="s">
        <v>160</v>
      </c>
      <c r="B237" s="182" t="s">
        <v>511</v>
      </c>
      <c r="C237" s="194" t="s">
        <v>147</v>
      </c>
      <c r="D237" s="183" t="e">
        <v>#N/A</v>
      </c>
      <c r="E237" s="183" t="e">
        <v>#N/A</v>
      </c>
      <c r="F237" s="185" t="e">
        <v>#N/A</v>
      </c>
    </row>
    <row r="238" spans="1:6" x14ac:dyDescent="0.3">
      <c r="A238" s="184" t="s">
        <v>178</v>
      </c>
      <c r="B238" s="182" t="s">
        <v>1291</v>
      </c>
      <c r="C238" s="194" t="s">
        <v>147</v>
      </c>
      <c r="D238" s="183" t="e">
        <v>#N/A</v>
      </c>
      <c r="E238" s="183" t="e">
        <v>#N/A</v>
      </c>
      <c r="F238" s="185" t="e">
        <v>#N/A</v>
      </c>
    </row>
    <row r="239" spans="1:6" hidden="1" x14ac:dyDescent="0.3">
      <c r="A239" s="184" t="s">
        <v>164</v>
      </c>
      <c r="B239" s="182" t="s">
        <v>667</v>
      </c>
      <c r="C239" s="194" t="s">
        <v>147</v>
      </c>
      <c r="D239" s="183">
        <v>0</v>
      </c>
      <c r="E239" s="183">
        <v>1</v>
      </c>
      <c r="F239" s="185">
        <v>1</v>
      </c>
    </row>
    <row r="240" spans="1:6" x14ac:dyDescent="0.3">
      <c r="A240" s="184" t="s">
        <v>163</v>
      </c>
      <c r="B240" s="182" t="s">
        <v>702</v>
      </c>
      <c r="C240" s="194" t="s">
        <v>147</v>
      </c>
      <c r="D240" s="183" t="e">
        <v>#N/A</v>
      </c>
      <c r="E240" s="183" t="e">
        <v>#N/A</v>
      </c>
      <c r="F240" s="185" t="e">
        <v>#N/A</v>
      </c>
    </row>
    <row r="241" spans="1:6" hidden="1" x14ac:dyDescent="0.3">
      <c r="A241" s="184" t="s">
        <v>158</v>
      </c>
      <c r="B241" s="182" t="s">
        <v>456</v>
      </c>
      <c r="C241" s="194" t="s">
        <v>147</v>
      </c>
      <c r="D241" s="183">
        <v>0</v>
      </c>
      <c r="E241" s="183">
        <v>0</v>
      </c>
      <c r="F241" s="185">
        <v>1</v>
      </c>
    </row>
    <row r="242" spans="1:6" hidden="1" x14ac:dyDescent="0.3">
      <c r="A242" s="184" t="s">
        <v>194</v>
      </c>
      <c r="B242" s="182" t="s">
        <v>1884</v>
      </c>
      <c r="C242" s="194" t="s">
        <v>147</v>
      </c>
      <c r="D242" s="183">
        <v>0</v>
      </c>
      <c r="E242" s="183">
        <v>0</v>
      </c>
      <c r="F242" s="185">
        <v>1</v>
      </c>
    </row>
    <row r="243" spans="1:6" x14ac:dyDescent="0.3">
      <c r="A243" s="184" t="s">
        <v>191</v>
      </c>
      <c r="B243" s="182" t="s">
        <v>1796</v>
      </c>
      <c r="C243" s="194" t="s">
        <v>147</v>
      </c>
      <c r="D243" s="183" t="e">
        <v>#N/A</v>
      </c>
      <c r="E243" s="183" t="e">
        <v>#N/A</v>
      </c>
      <c r="F243" s="185" t="e">
        <v>#N/A</v>
      </c>
    </row>
    <row r="244" spans="1:6" hidden="1" x14ac:dyDescent="0.3">
      <c r="A244" s="184" t="s">
        <v>166</v>
      </c>
      <c r="B244" s="182" t="s">
        <v>773</v>
      </c>
      <c r="C244" s="194" t="s">
        <v>147</v>
      </c>
      <c r="D244" s="183">
        <v>0</v>
      </c>
      <c r="E244" s="183">
        <v>1</v>
      </c>
      <c r="F244" s="185">
        <v>1</v>
      </c>
    </row>
    <row r="245" spans="1:6" hidden="1" x14ac:dyDescent="0.3">
      <c r="A245" s="184" t="s">
        <v>170</v>
      </c>
      <c r="B245" s="182" t="s">
        <v>959</v>
      </c>
      <c r="C245" s="194" t="s">
        <v>147</v>
      </c>
      <c r="D245" s="183">
        <v>0</v>
      </c>
      <c r="E245" s="183">
        <v>1</v>
      </c>
      <c r="F245" s="185">
        <v>1</v>
      </c>
    </row>
    <row r="246" spans="1:6" hidden="1" x14ac:dyDescent="0.3">
      <c r="A246" s="184" t="s">
        <v>198</v>
      </c>
      <c r="B246" s="182" t="s">
        <v>637</v>
      </c>
      <c r="C246" s="194" t="s">
        <v>147</v>
      </c>
      <c r="D246" s="183">
        <v>0</v>
      </c>
      <c r="E246" s="183">
        <v>1</v>
      </c>
      <c r="F246" s="185">
        <v>1</v>
      </c>
    </row>
    <row r="247" spans="1:6" hidden="1" x14ac:dyDescent="0.3">
      <c r="A247" s="184" t="s">
        <v>154</v>
      </c>
      <c r="B247" s="182" t="s">
        <v>329</v>
      </c>
      <c r="C247" s="194" t="s">
        <v>147</v>
      </c>
      <c r="D247" s="183">
        <v>0</v>
      </c>
      <c r="E247" s="183">
        <v>1</v>
      </c>
      <c r="F247" s="185">
        <v>1</v>
      </c>
    </row>
    <row r="248" spans="1:6" hidden="1" x14ac:dyDescent="0.3">
      <c r="A248" s="184" t="s">
        <v>196</v>
      </c>
      <c r="B248" s="182" t="s">
        <v>329</v>
      </c>
      <c r="C248" s="194" t="s">
        <v>147</v>
      </c>
      <c r="D248" s="183">
        <v>0</v>
      </c>
      <c r="E248" s="183">
        <v>1</v>
      </c>
      <c r="F248" s="185">
        <v>1</v>
      </c>
    </row>
    <row r="249" spans="1:6" hidden="1" x14ac:dyDescent="0.3">
      <c r="A249" s="184" t="s">
        <v>164</v>
      </c>
      <c r="B249" s="182" t="s">
        <v>668</v>
      </c>
      <c r="C249" s="194" t="s">
        <v>147</v>
      </c>
      <c r="D249" s="183">
        <v>1</v>
      </c>
      <c r="E249" s="183">
        <v>1</v>
      </c>
      <c r="F249" s="185">
        <v>1</v>
      </c>
    </row>
    <row r="250" spans="1:6" hidden="1" x14ac:dyDescent="0.3">
      <c r="A250" s="184" t="s">
        <v>155</v>
      </c>
      <c r="B250" s="182" t="s">
        <v>369</v>
      </c>
      <c r="C250" s="194" t="s">
        <v>147</v>
      </c>
      <c r="D250" s="183">
        <v>0</v>
      </c>
      <c r="E250" s="183">
        <v>1</v>
      </c>
      <c r="F250" s="185">
        <v>1</v>
      </c>
    </row>
    <row r="251" spans="1:6" hidden="1" x14ac:dyDescent="0.3">
      <c r="A251" s="184" t="s">
        <v>156</v>
      </c>
      <c r="B251" s="182" t="s">
        <v>398</v>
      </c>
      <c r="C251" s="194" t="s">
        <v>147</v>
      </c>
      <c r="D251" s="183">
        <v>0</v>
      </c>
      <c r="E251" s="183">
        <v>1</v>
      </c>
      <c r="F251" s="185">
        <v>1</v>
      </c>
    </row>
    <row r="252" spans="1:6" hidden="1" x14ac:dyDescent="0.3">
      <c r="A252" s="184" t="s">
        <v>155</v>
      </c>
      <c r="B252" s="182" t="s">
        <v>371</v>
      </c>
      <c r="C252" s="194" t="s">
        <v>147</v>
      </c>
      <c r="D252" s="183">
        <v>1</v>
      </c>
      <c r="E252" s="183">
        <v>1</v>
      </c>
      <c r="F252" s="185">
        <v>1</v>
      </c>
    </row>
    <row r="253" spans="1:6" hidden="1" x14ac:dyDescent="0.3">
      <c r="A253" s="184" t="s">
        <v>180</v>
      </c>
      <c r="B253" s="182" t="s">
        <v>1438</v>
      </c>
      <c r="C253" s="194" t="s">
        <v>147</v>
      </c>
      <c r="D253" s="183">
        <v>0</v>
      </c>
      <c r="E253" s="183">
        <v>1</v>
      </c>
      <c r="F253" s="185">
        <v>1</v>
      </c>
    </row>
    <row r="254" spans="1:6" x14ac:dyDescent="0.3">
      <c r="A254" s="184" t="s">
        <v>160</v>
      </c>
      <c r="B254" s="182" t="s">
        <v>514</v>
      </c>
      <c r="C254" s="194" t="s">
        <v>147</v>
      </c>
      <c r="D254" s="183" t="e">
        <v>#N/A</v>
      </c>
      <c r="E254" s="183" t="e">
        <v>#N/A</v>
      </c>
      <c r="F254" s="185" t="e">
        <v>#N/A</v>
      </c>
    </row>
    <row r="255" spans="1:6" x14ac:dyDescent="0.3">
      <c r="A255" s="184" t="s">
        <v>160</v>
      </c>
      <c r="B255" s="182" t="s">
        <v>513</v>
      </c>
      <c r="C255" s="194" t="s">
        <v>147</v>
      </c>
      <c r="D255" s="183" t="e">
        <v>#N/A</v>
      </c>
      <c r="E255" s="183" t="e">
        <v>#N/A</v>
      </c>
      <c r="F255" s="185" t="e">
        <v>#N/A</v>
      </c>
    </row>
    <row r="256" spans="1:6" x14ac:dyDescent="0.3">
      <c r="A256" s="184" t="s">
        <v>160</v>
      </c>
      <c r="B256" s="182" t="s">
        <v>515</v>
      </c>
      <c r="C256" s="194" t="s">
        <v>147</v>
      </c>
      <c r="D256" s="183" t="e">
        <v>#N/A</v>
      </c>
      <c r="E256" s="183" t="e">
        <v>#N/A</v>
      </c>
      <c r="F256" s="185" t="e">
        <v>#N/A</v>
      </c>
    </row>
    <row r="257" spans="1:6" hidden="1" x14ac:dyDescent="0.3">
      <c r="A257" s="184" t="s">
        <v>180</v>
      </c>
      <c r="B257" s="182" t="s">
        <v>1439</v>
      </c>
      <c r="C257" s="194" t="s">
        <v>147</v>
      </c>
      <c r="D257" s="183">
        <v>0</v>
      </c>
      <c r="E257" s="183">
        <v>0</v>
      </c>
      <c r="F257" s="185">
        <v>1</v>
      </c>
    </row>
    <row r="258" spans="1:6" x14ac:dyDescent="0.3">
      <c r="A258" s="184" t="s">
        <v>174</v>
      </c>
      <c r="B258" s="182" t="s">
        <v>1115</v>
      </c>
      <c r="C258" s="194" t="s">
        <v>147</v>
      </c>
      <c r="D258" s="183" t="e">
        <v>#N/A</v>
      </c>
      <c r="E258" s="183" t="e">
        <v>#N/A</v>
      </c>
      <c r="F258" s="185" t="e">
        <v>#N/A</v>
      </c>
    </row>
    <row r="259" spans="1:6" hidden="1" x14ac:dyDescent="0.3">
      <c r="A259" s="184" t="s">
        <v>157</v>
      </c>
      <c r="B259" s="182" t="s">
        <v>439</v>
      </c>
      <c r="C259" s="194" t="s">
        <v>147</v>
      </c>
      <c r="D259" s="183">
        <v>0</v>
      </c>
      <c r="E259" s="183">
        <v>1</v>
      </c>
      <c r="F259" s="185">
        <v>1</v>
      </c>
    </row>
    <row r="260" spans="1:6" x14ac:dyDescent="0.3">
      <c r="A260" s="184" t="s">
        <v>153</v>
      </c>
      <c r="B260" s="182" t="s">
        <v>297</v>
      </c>
      <c r="C260" s="194" t="s">
        <v>147</v>
      </c>
      <c r="D260" s="183" t="e">
        <v>#N/A</v>
      </c>
      <c r="E260" s="183" t="e">
        <v>#N/A</v>
      </c>
      <c r="F260" s="185" t="e">
        <v>#N/A</v>
      </c>
    </row>
    <row r="261" spans="1:6" x14ac:dyDescent="0.3">
      <c r="A261" s="184" t="s">
        <v>188</v>
      </c>
      <c r="B261" s="182" t="s">
        <v>1705</v>
      </c>
      <c r="C261" s="194" t="s">
        <v>147</v>
      </c>
      <c r="D261" s="183" t="e">
        <v>#N/A</v>
      </c>
      <c r="E261" s="183" t="e">
        <v>#N/A</v>
      </c>
      <c r="F261" s="185" t="e">
        <v>#N/A</v>
      </c>
    </row>
    <row r="262" spans="1:6" hidden="1" x14ac:dyDescent="0.3">
      <c r="A262" s="184" t="s">
        <v>174</v>
      </c>
      <c r="B262" s="182" t="s">
        <v>1116</v>
      </c>
      <c r="C262" s="194" t="s">
        <v>147</v>
      </c>
      <c r="D262" s="183">
        <v>1</v>
      </c>
      <c r="E262" s="183">
        <v>1</v>
      </c>
      <c r="F262" s="185">
        <v>1</v>
      </c>
    </row>
    <row r="263" spans="1:6" x14ac:dyDescent="0.3">
      <c r="A263" s="184" t="s">
        <v>165</v>
      </c>
      <c r="B263" s="182" t="s">
        <v>748</v>
      </c>
      <c r="C263" s="194" t="s">
        <v>149</v>
      </c>
      <c r="D263" s="183" t="e">
        <v>#N/A</v>
      </c>
      <c r="E263" s="183" t="e">
        <v>#N/A</v>
      </c>
      <c r="F263" s="185" t="e">
        <v>#N/A</v>
      </c>
    </row>
    <row r="264" spans="1:6" hidden="1" x14ac:dyDescent="0.3">
      <c r="A264" s="184" t="s">
        <v>156</v>
      </c>
      <c r="B264" s="182" t="s">
        <v>399</v>
      </c>
      <c r="C264" s="194" t="s">
        <v>147</v>
      </c>
      <c r="D264" s="183">
        <v>0</v>
      </c>
      <c r="E264" s="183">
        <v>1</v>
      </c>
      <c r="F264" s="185">
        <v>1</v>
      </c>
    </row>
    <row r="265" spans="1:6" x14ac:dyDescent="0.3">
      <c r="A265" s="184" t="s">
        <v>163</v>
      </c>
      <c r="B265" s="182" t="s">
        <v>244</v>
      </c>
      <c r="C265" s="194" t="s">
        <v>146</v>
      </c>
      <c r="D265" s="183" t="e">
        <v>#N/A</v>
      </c>
      <c r="E265" s="183" t="e">
        <v>#N/A</v>
      </c>
      <c r="F265" s="185" t="e">
        <v>#N/A</v>
      </c>
    </row>
    <row r="266" spans="1:6" hidden="1" x14ac:dyDescent="0.3">
      <c r="A266" s="184" t="s">
        <v>163</v>
      </c>
      <c r="B266" s="182" t="s">
        <v>703</v>
      </c>
      <c r="C266" s="194" t="s">
        <v>147</v>
      </c>
      <c r="D266" s="183">
        <v>1</v>
      </c>
      <c r="E266" s="183">
        <v>1</v>
      </c>
      <c r="F266" s="185">
        <v>1</v>
      </c>
    </row>
    <row r="267" spans="1:6" hidden="1" x14ac:dyDescent="0.3">
      <c r="A267" s="184" t="s">
        <v>170</v>
      </c>
      <c r="B267" s="182" t="s">
        <v>960</v>
      </c>
      <c r="C267" s="194" t="s">
        <v>147</v>
      </c>
      <c r="D267" s="183">
        <v>0</v>
      </c>
      <c r="E267" s="183">
        <v>1</v>
      </c>
      <c r="F267" s="185">
        <v>1</v>
      </c>
    </row>
    <row r="268" spans="1:6" x14ac:dyDescent="0.3">
      <c r="A268" s="184" t="s">
        <v>160</v>
      </c>
      <c r="B268" s="182" t="s">
        <v>517</v>
      </c>
      <c r="C268" s="194" t="s">
        <v>147</v>
      </c>
      <c r="D268" s="183" t="e">
        <v>#N/A</v>
      </c>
      <c r="E268" s="183" t="e">
        <v>#N/A</v>
      </c>
      <c r="F268" s="185" t="e">
        <v>#N/A</v>
      </c>
    </row>
    <row r="269" spans="1:6" hidden="1" x14ac:dyDescent="0.3">
      <c r="A269" s="184" t="s">
        <v>182</v>
      </c>
      <c r="B269" s="182" t="s">
        <v>1543</v>
      </c>
      <c r="C269" s="194" t="s">
        <v>147</v>
      </c>
      <c r="D269" s="183">
        <v>1</v>
      </c>
      <c r="E269" s="183">
        <v>1</v>
      </c>
      <c r="F269" s="185">
        <v>1</v>
      </c>
    </row>
    <row r="270" spans="1:6" hidden="1" x14ac:dyDescent="0.3">
      <c r="A270" s="184" t="s">
        <v>179</v>
      </c>
      <c r="B270" s="182" t="s">
        <v>1330</v>
      </c>
      <c r="C270" s="194" t="s">
        <v>147</v>
      </c>
      <c r="D270" s="183">
        <v>0</v>
      </c>
      <c r="E270" s="183">
        <v>0</v>
      </c>
      <c r="F270" s="185">
        <v>1</v>
      </c>
    </row>
    <row r="271" spans="1:6" hidden="1" x14ac:dyDescent="0.3">
      <c r="A271" s="184" t="s">
        <v>193</v>
      </c>
      <c r="B271" s="182" t="s">
        <v>1840</v>
      </c>
      <c r="C271" s="194" t="s">
        <v>147</v>
      </c>
      <c r="D271" s="183">
        <v>0</v>
      </c>
      <c r="E271" s="183">
        <v>1</v>
      </c>
      <c r="F271" s="185">
        <v>1</v>
      </c>
    </row>
    <row r="272" spans="1:6" hidden="1" x14ac:dyDescent="0.3">
      <c r="A272" s="184" t="s">
        <v>193</v>
      </c>
      <c r="B272" s="182" t="s">
        <v>1841</v>
      </c>
      <c r="C272" s="194" t="s">
        <v>146</v>
      </c>
      <c r="D272" s="183">
        <v>0</v>
      </c>
      <c r="E272" s="183">
        <v>0</v>
      </c>
      <c r="F272" s="185">
        <v>1</v>
      </c>
    </row>
    <row r="273" spans="1:6" hidden="1" x14ac:dyDescent="0.3">
      <c r="A273" s="184" t="s">
        <v>178</v>
      </c>
      <c r="B273" s="182" t="s">
        <v>1292</v>
      </c>
      <c r="C273" s="194" t="s">
        <v>147</v>
      </c>
      <c r="D273" s="183">
        <v>0</v>
      </c>
      <c r="E273" s="183">
        <v>0</v>
      </c>
      <c r="F273" s="185">
        <v>1</v>
      </c>
    </row>
    <row r="274" spans="1:6" hidden="1" x14ac:dyDescent="0.3">
      <c r="A274" s="184" t="s">
        <v>194</v>
      </c>
      <c r="B274" s="182" t="s">
        <v>1886</v>
      </c>
      <c r="C274" s="194" t="s">
        <v>146</v>
      </c>
      <c r="D274" s="183">
        <v>1</v>
      </c>
      <c r="E274" s="183">
        <v>1</v>
      </c>
      <c r="F274" s="185">
        <v>1</v>
      </c>
    </row>
    <row r="275" spans="1:6" hidden="1" x14ac:dyDescent="0.3">
      <c r="A275" s="184" t="s">
        <v>163</v>
      </c>
      <c r="B275" s="182" t="s">
        <v>704</v>
      </c>
      <c r="C275" s="194" t="s">
        <v>147</v>
      </c>
      <c r="D275" s="183">
        <v>1</v>
      </c>
      <c r="E275" s="183">
        <v>1</v>
      </c>
      <c r="F275" s="185">
        <v>1</v>
      </c>
    </row>
    <row r="276" spans="1:6" hidden="1" x14ac:dyDescent="0.3">
      <c r="A276" s="184" t="s">
        <v>155</v>
      </c>
      <c r="B276" s="182" t="s">
        <v>373</v>
      </c>
      <c r="C276" s="194" t="s">
        <v>146</v>
      </c>
      <c r="D276" s="183">
        <v>1</v>
      </c>
      <c r="E276" s="183">
        <v>1</v>
      </c>
      <c r="F276" s="185">
        <v>1</v>
      </c>
    </row>
    <row r="277" spans="1:6" hidden="1" x14ac:dyDescent="0.3">
      <c r="A277" s="184" t="s">
        <v>188</v>
      </c>
      <c r="B277" s="182" t="s">
        <v>1706</v>
      </c>
      <c r="C277" s="194" t="s">
        <v>147</v>
      </c>
      <c r="D277" s="183">
        <v>1</v>
      </c>
      <c r="E277" s="183">
        <v>1</v>
      </c>
      <c r="F277" s="185">
        <v>1</v>
      </c>
    </row>
    <row r="278" spans="1:6" hidden="1" x14ac:dyDescent="0.3">
      <c r="A278" s="184" t="s">
        <v>188</v>
      </c>
      <c r="B278" s="182" t="s">
        <v>1707</v>
      </c>
      <c r="C278" s="194" t="s">
        <v>147</v>
      </c>
      <c r="D278" s="183">
        <v>0</v>
      </c>
      <c r="E278" s="183">
        <v>0</v>
      </c>
      <c r="F278" s="185">
        <v>1</v>
      </c>
    </row>
    <row r="279" spans="1:6" x14ac:dyDescent="0.3">
      <c r="A279" s="189" t="s">
        <v>193</v>
      </c>
      <c r="B279" s="190" t="s">
        <v>1842</v>
      </c>
      <c r="C279" s="195" t="s">
        <v>147</v>
      </c>
      <c r="D279" s="183" t="e">
        <v>#N/A</v>
      </c>
      <c r="E279" s="191" t="e">
        <v>#N/A</v>
      </c>
      <c r="F279" s="192" t="e">
        <v>#N/A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1879-292D-452B-8674-EDEC4E80C1AC}">
  <dimension ref="A1:T447"/>
  <sheetViews>
    <sheetView showGridLines="0" topLeftCell="A22" zoomScaleNormal="100" workbookViewId="0">
      <selection activeCell="C3" sqref="C3"/>
    </sheetView>
  </sheetViews>
  <sheetFormatPr defaultRowHeight="14.4" x14ac:dyDescent="0.3"/>
  <cols>
    <col min="2" max="2" width="12.5546875" customWidth="1"/>
    <col min="3" max="3" width="12.109375" customWidth="1"/>
    <col min="4" max="4" width="11.88671875" customWidth="1"/>
    <col min="5" max="5" width="15.109375" customWidth="1"/>
    <col min="6" max="6" width="22.88671875" customWidth="1"/>
    <col min="7" max="7" width="32.44140625" customWidth="1"/>
    <col min="8" max="8" width="28.88671875" customWidth="1"/>
    <col min="9" max="9" width="27.109375" customWidth="1"/>
    <col min="10" max="10" width="25.33203125" customWidth="1"/>
    <col min="11" max="11" width="29.44140625" customWidth="1"/>
    <col min="12" max="12" width="26.109375" customWidth="1"/>
    <col min="13" max="13" width="27.6640625" customWidth="1"/>
    <col min="14" max="14" width="23.109375" customWidth="1"/>
    <col min="15" max="15" width="22.44140625" customWidth="1"/>
    <col min="16" max="16" width="26.6640625" customWidth="1"/>
    <col min="17" max="17" width="22.88671875" customWidth="1"/>
    <col min="18" max="18" width="32.44140625" customWidth="1"/>
    <col min="19" max="19" width="45.6640625" customWidth="1"/>
    <col min="20" max="20" width="46.109375" customWidth="1"/>
  </cols>
  <sheetData>
    <row r="1" spans="1:20" x14ac:dyDescent="0.3">
      <c r="A1" s="146" t="s">
        <v>151</v>
      </c>
      <c r="B1" s="146" t="s">
        <v>2068</v>
      </c>
      <c r="C1" s="146" t="s">
        <v>2081</v>
      </c>
      <c r="D1" s="146" t="s">
        <v>2082</v>
      </c>
      <c r="E1" s="146" t="s">
        <v>2083</v>
      </c>
      <c r="F1" s="146" t="s">
        <v>2084</v>
      </c>
      <c r="G1" s="146" t="s">
        <v>2085</v>
      </c>
      <c r="H1" s="146" t="s">
        <v>2086</v>
      </c>
      <c r="I1" s="146" t="s">
        <v>2087</v>
      </c>
      <c r="J1" s="146" t="s">
        <v>2088</v>
      </c>
      <c r="K1" s="146" t="s">
        <v>2089</v>
      </c>
      <c r="L1" s="146" t="s">
        <v>2090</v>
      </c>
      <c r="M1" s="146" t="s">
        <v>2091</v>
      </c>
      <c r="N1" s="146" t="s">
        <v>2092</v>
      </c>
      <c r="O1" s="146" t="s">
        <v>2093</v>
      </c>
      <c r="P1" s="146" t="s">
        <v>2094</v>
      </c>
      <c r="Q1" s="146" t="s">
        <v>2095</v>
      </c>
      <c r="R1" s="146" t="s">
        <v>2096</v>
      </c>
      <c r="S1" s="146" t="s">
        <v>2097</v>
      </c>
      <c r="T1" s="146" t="s">
        <v>2098</v>
      </c>
    </row>
    <row r="2" spans="1:20" x14ac:dyDescent="0.3">
      <c r="A2" s="146" t="s">
        <v>168</v>
      </c>
      <c r="B2" s="146" t="s">
        <v>820</v>
      </c>
      <c r="C2" s="146" t="s">
        <v>2099</v>
      </c>
      <c r="D2" s="146">
        <v>1</v>
      </c>
      <c r="E2" s="146">
        <v>1</v>
      </c>
      <c r="F2" s="146"/>
      <c r="G2" s="146">
        <v>1</v>
      </c>
      <c r="H2" s="146">
        <v>1</v>
      </c>
      <c r="I2" s="146">
        <v>1</v>
      </c>
      <c r="J2" s="146">
        <v>1</v>
      </c>
      <c r="K2" s="146"/>
      <c r="L2" s="146"/>
      <c r="M2" s="146"/>
      <c r="N2" s="146">
        <v>1</v>
      </c>
      <c r="O2" s="146"/>
      <c r="P2" s="146">
        <v>1</v>
      </c>
      <c r="Q2" s="146"/>
      <c r="R2" s="146"/>
      <c r="S2" s="146"/>
      <c r="T2" s="146"/>
    </row>
    <row r="3" spans="1:20" x14ac:dyDescent="0.3">
      <c r="A3" s="146" t="s">
        <v>164</v>
      </c>
      <c r="B3" s="146" t="s">
        <v>2100</v>
      </c>
      <c r="C3" s="146" t="s">
        <v>149</v>
      </c>
      <c r="D3" s="146">
        <v>1</v>
      </c>
      <c r="E3" s="146">
        <v>1</v>
      </c>
      <c r="F3" s="146">
        <v>1</v>
      </c>
      <c r="G3" s="146">
        <v>1</v>
      </c>
      <c r="H3" s="146">
        <v>1</v>
      </c>
      <c r="I3" s="146">
        <v>1</v>
      </c>
      <c r="J3" s="146">
        <v>1</v>
      </c>
      <c r="K3" s="146">
        <v>1</v>
      </c>
      <c r="L3" s="146">
        <v>1</v>
      </c>
      <c r="M3" s="146">
        <v>1</v>
      </c>
      <c r="N3" s="146">
        <v>1</v>
      </c>
      <c r="O3" s="146">
        <v>1</v>
      </c>
      <c r="P3" s="146">
        <v>1</v>
      </c>
      <c r="Q3" s="146"/>
      <c r="R3" s="146"/>
      <c r="S3" s="146"/>
      <c r="T3" s="146"/>
    </row>
    <row r="4" spans="1:20" x14ac:dyDescent="0.3">
      <c r="A4" s="146" t="s">
        <v>164</v>
      </c>
      <c r="B4" s="146" t="s">
        <v>2101</v>
      </c>
      <c r="C4" s="146" t="s">
        <v>2102</v>
      </c>
      <c r="D4" s="146">
        <v>1</v>
      </c>
      <c r="E4" s="146"/>
      <c r="F4" s="146"/>
      <c r="G4" s="146">
        <v>1</v>
      </c>
      <c r="H4" s="146"/>
      <c r="I4" s="146"/>
      <c r="J4" s="146"/>
      <c r="K4" s="146"/>
      <c r="L4" s="146"/>
      <c r="M4" s="146"/>
      <c r="N4" s="146">
        <v>1</v>
      </c>
      <c r="O4" s="146"/>
      <c r="P4" s="146">
        <v>1</v>
      </c>
      <c r="Q4" s="146"/>
      <c r="R4" s="146">
        <v>1</v>
      </c>
      <c r="S4" s="146"/>
      <c r="T4" s="146"/>
    </row>
    <row r="5" spans="1:20" x14ac:dyDescent="0.3">
      <c r="A5" s="146" t="s">
        <v>156</v>
      </c>
      <c r="B5" s="146" t="s">
        <v>394</v>
      </c>
      <c r="C5" s="146" t="s">
        <v>2099</v>
      </c>
      <c r="D5" s="146">
        <v>1</v>
      </c>
      <c r="E5" s="146">
        <v>1</v>
      </c>
      <c r="F5" s="146">
        <v>1</v>
      </c>
      <c r="G5" s="146">
        <v>1</v>
      </c>
      <c r="H5" s="146">
        <v>1</v>
      </c>
      <c r="I5" s="146">
        <v>1</v>
      </c>
      <c r="J5" s="146">
        <v>1</v>
      </c>
      <c r="K5" s="146"/>
      <c r="L5" s="146"/>
      <c r="M5" s="146"/>
      <c r="N5" s="146">
        <v>1</v>
      </c>
      <c r="O5" s="146"/>
      <c r="P5" s="146">
        <v>1</v>
      </c>
      <c r="Q5" s="146"/>
      <c r="R5" s="146"/>
      <c r="S5" s="146"/>
      <c r="T5" s="146"/>
    </row>
    <row r="6" spans="1:20" x14ac:dyDescent="0.3">
      <c r="A6" s="146" t="s">
        <v>187</v>
      </c>
      <c r="B6" s="146" t="s">
        <v>1658</v>
      </c>
      <c r="C6" s="146" t="s">
        <v>2099</v>
      </c>
      <c r="D6" s="146">
        <v>1</v>
      </c>
      <c r="E6" s="146">
        <v>1</v>
      </c>
      <c r="F6" s="146"/>
      <c r="G6" s="146">
        <v>1</v>
      </c>
      <c r="H6" s="146">
        <v>1</v>
      </c>
      <c r="I6" s="146">
        <v>1</v>
      </c>
      <c r="J6" s="146">
        <v>1</v>
      </c>
      <c r="K6" s="146"/>
      <c r="L6" s="146"/>
      <c r="M6" s="146"/>
      <c r="N6" s="146">
        <v>1</v>
      </c>
      <c r="O6" s="146"/>
      <c r="P6" s="146">
        <v>1</v>
      </c>
      <c r="Q6" s="146"/>
      <c r="R6" s="146"/>
      <c r="S6" s="146"/>
      <c r="T6" s="146"/>
    </row>
    <row r="7" spans="1:20" x14ac:dyDescent="0.3">
      <c r="A7" s="146" t="s">
        <v>180</v>
      </c>
      <c r="B7" s="146" t="s">
        <v>1423</v>
      </c>
      <c r="C7" s="146" t="s">
        <v>2099</v>
      </c>
      <c r="D7" s="146">
        <v>1</v>
      </c>
      <c r="E7" s="146">
        <v>1</v>
      </c>
      <c r="F7" s="146">
        <v>1</v>
      </c>
      <c r="G7" s="146">
        <v>1</v>
      </c>
      <c r="H7" s="146">
        <v>1</v>
      </c>
      <c r="I7" s="146">
        <v>1</v>
      </c>
      <c r="J7" s="146">
        <v>1</v>
      </c>
      <c r="K7" s="146"/>
      <c r="L7" s="146"/>
      <c r="M7" s="146"/>
      <c r="N7" s="146">
        <v>1</v>
      </c>
      <c r="O7" s="146">
        <v>1</v>
      </c>
      <c r="P7" s="146">
        <v>1</v>
      </c>
      <c r="Q7" s="146">
        <v>1</v>
      </c>
      <c r="R7" s="146"/>
      <c r="S7" s="146"/>
      <c r="T7" s="146"/>
    </row>
    <row r="8" spans="1:20" x14ac:dyDescent="0.3">
      <c r="A8" s="146" t="s">
        <v>178</v>
      </c>
      <c r="B8" s="146" t="s">
        <v>1283</v>
      </c>
      <c r="C8" s="146" t="s">
        <v>2099</v>
      </c>
      <c r="D8" s="146">
        <v>1</v>
      </c>
      <c r="E8" s="146"/>
      <c r="F8" s="146"/>
      <c r="G8" s="146">
        <v>1</v>
      </c>
      <c r="H8" s="146">
        <v>1</v>
      </c>
      <c r="I8" s="146">
        <v>1</v>
      </c>
      <c r="J8" s="146">
        <v>1</v>
      </c>
      <c r="K8" s="146"/>
      <c r="L8" s="146"/>
      <c r="M8" s="146"/>
      <c r="N8" s="146">
        <v>1</v>
      </c>
      <c r="O8" s="146"/>
      <c r="P8" s="146">
        <v>1</v>
      </c>
      <c r="Q8" s="146"/>
      <c r="R8" s="146"/>
      <c r="S8" s="146"/>
      <c r="T8" s="146"/>
    </row>
    <row r="9" spans="1:20" x14ac:dyDescent="0.3">
      <c r="A9" s="146" t="s">
        <v>199</v>
      </c>
      <c r="B9" s="146" t="s">
        <v>2103</v>
      </c>
      <c r="C9" s="146" t="s">
        <v>2099</v>
      </c>
      <c r="D9" s="146">
        <v>1</v>
      </c>
      <c r="E9" s="146"/>
      <c r="F9" s="146"/>
      <c r="G9" s="146">
        <v>1</v>
      </c>
      <c r="H9" s="146"/>
      <c r="I9" s="146"/>
      <c r="J9" s="146"/>
      <c r="K9" s="146"/>
      <c r="L9" s="146"/>
      <c r="M9" s="146"/>
      <c r="N9" s="146">
        <v>1</v>
      </c>
      <c r="O9" s="146"/>
      <c r="P9" s="146">
        <v>1</v>
      </c>
      <c r="Q9" s="146"/>
      <c r="R9" s="146"/>
      <c r="S9" s="146"/>
      <c r="T9" s="146"/>
    </row>
    <row r="10" spans="1:20" x14ac:dyDescent="0.3">
      <c r="A10" s="146" t="s">
        <v>180</v>
      </c>
      <c r="B10" s="146" t="s">
        <v>1424</v>
      </c>
      <c r="C10" s="146" t="s">
        <v>2099</v>
      </c>
      <c r="D10" s="146">
        <v>1</v>
      </c>
      <c r="E10" s="146">
        <v>1</v>
      </c>
      <c r="F10" s="146">
        <v>1</v>
      </c>
      <c r="G10" s="146">
        <v>1</v>
      </c>
      <c r="H10" s="146">
        <v>1</v>
      </c>
      <c r="I10" s="146">
        <v>1</v>
      </c>
      <c r="J10" s="146">
        <v>1</v>
      </c>
      <c r="K10" s="146"/>
      <c r="L10" s="146"/>
      <c r="M10" s="146"/>
      <c r="N10" s="146">
        <v>1</v>
      </c>
      <c r="O10" s="146"/>
      <c r="P10" s="146">
        <v>1</v>
      </c>
      <c r="Q10" s="146"/>
      <c r="R10" s="146"/>
      <c r="S10" s="146"/>
      <c r="T10" s="146"/>
    </row>
    <row r="11" spans="1:20" x14ac:dyDescent="0.3">
      <c r="A11" s="146" t="s">
        <v>165</v>
      </c>
      <c r="B11" s="146" t="s">
        <v>743</v>
      </c>
      <c r="C11" s="146" t="s">
        <v>2099</v>
      </c>
      <c r="D11" s="146">
        <v>1</v>
      </c>
      <c r="E11" s="146"/>
      <c r="F11" s="146"/>
      <c r="G11" s="146">
        <v>1</v>
      </c>
      <c r="H11" s="146"/>
      <c r="I11" s="146">
        <v>1</v>
      </c>
      <c r="J11" s="146">
        <v>1</v>
      </c>
      <c r="K11" s="146"/>
      <c r="L11" s="146"/>
      <c r="M11" s="146"/>
      <c r="N11" s="146">
        <v>1</v>
      </c>
      <c r="O11" s="146"/>
      <c r="P11" s="146">
        <v>1</v>
      </c>
      <c r="Q11" s="146"/>
      <c r="R11" s="146">
        <v>1</v>
      </c>
      <c r="S11" s="146"/>
      <c r="T11" s="146"/>
    </row>
    <row r="12" spans="1:20" x14ac:dyDescent="0.3">
      <c r="A12" s="146" t="s">
        <v>184</v>
      </c>
      <c r="B12" s="146" t="s">
        <v>2104</v>
      </c>
      <c r="C12" s="146" t="s">
        <v>2102</v>
      </c>
      <c r="D12" s="146">
        <v>1</v>
      </c>
      <c r="E12" s="146"/>
      <c r="F12" s="146"/>
      <c r="G12" s="146">
        <v>1</v>
      </c>
      <c r="H12" s="146"/>
      <c r="I12" s="146"/>
      <c r="J12" s="146"/>
      <c r="K12" s="146"/>
      <c r="L12" s="146"/>
      <c r="M12" s="146"/>
      <c r="N12" s="146">
        <v>1</v>
      </c>
      <c r="O12" s="146"/>
      <c r="P12" s="146">
        <v>1</v>
      </c>
      <c r="Q12" s="146"/>
      <c r="R12" s="146"/>
      <c r="S12" s="146"/>
      <c r="T12" s="146"/>
    </row>
    <row r="13" spans="1:20" x14ac:dyDescent="0.3">
      <c r="A13" s="146" t="s">
        <v>166</v>
      </c>
      <c r="B13" s="146" t="s">
        <v>2105</v>
      </c>
      <c r="C13" s="146" t="s">
        <v>2099</v>
      </c>
      <c r="D13" s="146">
        <v>1</v>
      </c>
      <c r="E13" s="146"/>
      <c r="F13" s="146"/>
      <c r="G13" s="146">
        <v>1</v>
      </c>
      <c r="H13" s="146"/>
      <c r="I13" s="146"/>
      <c r="J13" s="146"/>
      <c r="K13" s="146"/>
      <c r="L13" s="146"/>
      <c r="M13" s="146"/>
      <c r="N13" s="146">
        <v>1</v>
      </c>
      <c r="O13" s="146"/>
      <c r="P13" s="146">
        <v>1</v>
      </c>
      <c r="Q13" s="146"/>
      <c r="R13" s="146"/>
      <c r="S13" s="146"/>
      <c r="T13" s="146"/>
    </row>
    <row r="14" spans="1:20" x14ac:dyDescent="0.3">
      <c r="A14" s="146" t="s">
        <v>153</v>
      </c>
      <c r="B14" s="146" t="s">
        <v>291</v>
      </c>
      <c r="C14" s="146" t="s">
        <v>2106</v>
      </c>
      <c r="D14" s="146">
        <v>1</v>
      </c>
      <c r="E14" s="146">
        <v>1</v>
      </c>
      <c r="F14" s="146">
        <v>1</v>
      </c>
      <c r="G14" s="146">
        <v>1</v>
      </c>
      <c r="H14" s="146">
        <v>1</v>
      </c>
      <c r="I14" s="146">
        <v>1</v>
      </c>
      <c r="J14" s="146">
        <v>1</v>
      </c>
      <c r="K14" s="146">
        <v>1</v>
      </c>
      <c r="L14" s="146">
        <v>1</v>
      </c>
      <c r="M14" s="146">
        <v>1</v>
      </c>
      <c r="N14" s="146">
        <v>1</v>
      </c>
      <c r="O14" s="146">
        <v>1</v>
      </c>
      <c r="P14" s="146">
        <v>1</v>
      </c>
      <c r="Q14" s="146"/>
      <c r="R14" s="146"/>
      <c r="S14" s="146"/>
      <c r="T14" s="146"/>
    </row>
    <row r="15" spans="1:20" x14ac:dyDescent="0.3">
      <c r="A15" s="146" t="s">
        <v>153</v>
      </c>
      <c r="B15" s="146" t="s">
        <v>2107</v>
      </c>
      <c r="C15" s="146" t="s">
        <v>2102</v>
      </c>
      <c r="D15" s="146">
        <v>1</v>
      </c>
      <c r="E15" s="146"/>
      <c r="F15" s="146"/>
      <c r="G15" s="146">
        <v>1</v>
      </c>
      <c r="H15" s="146"/>
      <c r="I15" s="146"/>
      <c r="J15" s="146"/>
      <c r="K15" s="146"/>
      <c r="L15" s="146"/>
      <c r="M15" s="146"/>
      <c r="N15" s="146">
        <v>1</v>
      </c>
      <c r="O15" s="146"/>
      <c r="P15" s="146">
        <v>1</v>
      </c>
      <c r="Q15" s="146"/>
      <c r="R15" s="146"/>
      <c r="S15" s="146"/>
      <c r="T15" s="146"/>
    </row>
    <row r="16" spans="1:20" x14ac:dyDescent="0.3">
      <c r="A16" s="146" t="s">
        <v>168</v>
      </c>
      <c r="B16" s="146" t="s">
        <v>2108</v>
      </c>
      <c r="C16" s="146" t="s">
        <v>2109</v>
      </c>
      <c r="D16" s="146">
        <v>1</v>
      </c>
      <c r="E16" s="146"/>
      <c r="F16" s="146"/>
      <c r="G16" s="146">
        <v>1</v>
      </c>
      <c r="H16" s="146"/>
      <c r="I16" s="146"/>
      <c r="J16" s="146"/>
      <c r="K16" s="146"/>
      <c r="L16" s="146"/>
      <c r="M16" s="146"/>
      <c r="N16" s="146">
        <v>1</v>
      </c>
      <c r="O16" s="146"/>
      <c r="P16" s="146">
        <v>1</v>
      </c>
      <c r="Q16" s="146"/>
      <c r="R16" s="146">
        <v>1</v>
      </c>
      <c r="S16" s="146"/>
      <c r="T16" s="146"/>
    </row>
    <row r="17" spans="1:20" x14ac:dyDescent="0.3">
      <c r="A17" s="146" t="s">
        <v>173</v>
      </c>
      <c r="B17" s="146" t="s">
        <v>2110</v>
      </c>
      <c r="C17" s="146" t="s">
        <v>149</v>
      </c>
      <c r="D17" s="146">
        <v>1</v>
      </c>
      <c r="E17" s="146">
        <v>1</v>
      </c>
      <c r="F17" s="146">
        <v>1</v>
      </c>
      <c r="G17" s="146">
        <v>1</v>
      </c>
      <c r="H17" s="146">
        <v>1</v>
      </c>
      <c r="I17" s="146">
        <v>1</v>
      </c>
      <c r="J17" s="146">
        <v>1</v>
      </c>
      <c r="K17" s="146">
        <v>1</v>
      </c>
      <c r="L17" s="146"/>
      <c r="M17" s="146">
        <v>1</v>
      </c>
      <c r="N17" s="146">
        <v>1</v>
      </c>
      <c r="O17" s="146"/>
      <c r="P17" s="146">
        <v>1</v>
      </c>
      <c r="Q17" s="146"/>
      <c r="R17" s="146"/>
      <c r="S17" s="146"/>
      <c r="T17" s="146"/>
    </row>
    <row r="18" spans="1:20" x14ac:dyDescent="0.3">
      <c r="A18" s="146" t="s">
        <v>162</v>
      </c>
      <c r="B18" s="146" t="s">
        <v>2111</v>
      </c>
      <c r="C18" s="146" t="s">
        <v>2102</v>
      </c>
      <c r="D18" s="146">
        <v>1</v>
      </c>
      <c r="E18" s="146">
        <v>1</v>
      </c>
      <c r="F18" s="146">
        <v>1</v>
      </c>
      <c r="G18" s="146">
        <v>1</v>
      </c>
      <c r="H18" s="146">
        <v>1</v>
      </c>
      <c r="I18" s="146">
        <v>1</v>
      </c>
      <c r="J18" s="146"/>
      <c r="K18" s="146"/>
      <c r="L18" s="146"/>
      <c r="M18" s="146"/>
      <c r="N18" s="146">
        <v>1</v>
      </c>
      <c r="O18" s="146"/>
      <c r="P18" s="146">
        <v>1</v>
      </c>
      <c r="Q18" s="146"/>
      <c r="R18" s="146"/>
      <c r="S18" s="146"/>
      <c r="T18" s="146"/>
    </row>
    <row r="19" spans="1:20" x14ac:dyDescent="0.3">
      <c r="A19" s="146" t="s">
        <v>155</v>
      </c>
      <c r="B19" s="146" t="s">
        <v>352</v>
      </c>
      <c r="C19" s="146" t="s">
        <v>2099</v>
      </c>
      <c r="D19" s="146">
        <v>1</v>
      </c>
      <c r="E19" s="146">
        <v>1</v>
      </c>
      <c r="F19" s="146"/>
      <c r="G19" s="146">
        <v>1</v>
      </c>
      <c r="H19" s="146">
        <v>1</v>
      </c>
      <c r="I19" s="146">
        <v>1</v>
      </c>
      <c r="J19" s="146"/>
      <c r="K19" s="146"/>
      <c r="L19" s="146"/>
      <c r="M19" s="146"/>
      <c r="N19" s="146">
        <v>1</v>
      </c>
      <c r="O19" s="146"/>
      <c r="P19" s="146">
        <v>1</v>
      </c>
      <c r="Q19" s="146"/>
      <c r="R19" s="146"/>
      <c r="S19" s="146"/>
      <c r="T19" s="146"/>
    </row>
    <row r="20" spans="1:20" x14ac:dyDescent="0.3">
      <c r="A20" s="146" t="s">
        <v>180</v>
      </c>
      <c r="B20" s="146" t="s">
        <v>1425</v>
      </c>
      <c r="C20" s="146" t="s">
        <v>2099</v>
      </c>
      <c r="D20" s="146">
        <v>1</v>
      </c>
      <c r="E20" s="146"/>
      <c r="F20" s="146"/>
      <c r="G20" s="146">
        <v>1</v>
      </c>
      <c r="H20" s="146"/>
      <c r="I20" s="146"/>
      <c r="J20" s="146"/>
      <c r="K20" s="146"/>
      <c r="L20" s="146"/>
      <c r="M20" s="146"/>
      <c r="N20" s="146">
        <v>1</v>
      </c>
      <c r="O20" s="146"/>
      <c r="P20" s="146">
        <v>1</v>
      </c>
      <c r="Q20" s="146"/>
      <c r="R20" s="146">
        <v>1</v>
      </c>
      <c r="S20" s="146"/>
      <c r="T20" s="146"/>
    </row>
    <row r="21" spans="1:20" x14ac:dyDescent="0.3">
      <c r="A21" s="146" t="s">
        <v>187</v>
      </c>
      <c r="B21" s="146" t="s">
        <v>1659</v>
      </c>
      <c r="C21" s="146" t="s">
        <v>2099</v>
      </c>
      <c r="D21" s="146">
        <v>1</v>
      </c>
      <c r="E21" s="146">
        <v>1</v>
      </c>
      <c r="F21" s="146">
        <v>1</v>
      </c>
      <c r="G21" s="146">
        <v>1</v>
      </c>
      <c r="H21" s="146">
        <v>1</v>
      </c>
      <c r="I21" s="146">
        <v>1</v>
      </c>
      <c r="J21" s="146">
        <v>1</v>
      </c>
      <c r="K21" s="146"/>
      <c r="L21" s="146"/>
      <c r="M21" s="146"/>
      <c r="N21" s="146">
        <v>1</v>
      </c>
      <c r="O21" s="146"/>
      <c r="P21" s="146">
        <v>1</v>
      </c>
      <c r="Q21" s="146"/>
      <c r="R21" s="146"/>
      <c r="S21" s="146"/>
      <c r="T21" s="146"/>
    </row>
    <row r="22" spans="1:20" x14ac:dyDescent="0.3">
      <c r="A22" s="146" t="s">
        <v>188</v>
      </c>
      <c r="B22" s="146" t="s">
        <v>2112</v>
      </c>
      <c r="C22" s="146" t="s">
        <v>2102</v>
      </c>
      <c r="D22" s="146">
        <v>1</v>
      </c>
      <c r="E22" s="146"/>
      <c r="F22" s="146"/>
      <c r="G22" s="146">
        <v>1</v>
      </c>
      <c r="H22" s="146"/>
      <c r="I22" s="146"/>
      <c r="J22" s="146"/>
      <c r="K22" s="146"/>
      <c r="L22" s="146"/>
      <c r="M22" s="146"/>
      <c r="N22" s="146">
        <v>1</v>
      </c>
      <c r="O22" s="146"/>
      <c r="P22" s="146">
        <v>1</v>
      </c>
      <c r="Q22" s="146"/>
      <c r="R22" s="146"/>
      <c r="S22" s="146"/>
      <c r="T22" s="146"/>
    </row>
    <row r="23" spans="1:20" x14ac:dyDescent="0.3">
      <c r="A23" s="146" t="s">
        <v>155</v>
      </c>
      <c r="B23" s="146" t="s">
        <v>355</v>
      </c>
      <c r="C23" s="146" t="s">
        <v>2099</v>
      </c>
      <c r="D23" s="146">
        <v>1</v>
      </c>
      <c r="E23" s="146">
        <v>1</v>
      </c>
      <c r="F23" s="146"/>
      <c r="G23" s="146">
        <v>1</v>
      </c>
      <c r="H23" s="146">
        <v>1</v>
      </c>
      <c r="I23" s="146">
        <v>1</v>
      </c>
      <c r="J23" s="146">
        <v>1</v>
      </c>
      <c r="K23" s="146"/>
      <c r="L23" s="146"/>
      <c r="M23" s="146"/>
      <c r="N23" s="146">
        <v>1</v>
      </c>
      <c r="O23" s="146"/>
      <c r="P23" s="146">
        <v>1</v>
      </c>
      <c r="Q23" s="146"/>
      <c r="R23" s="146"/>
      <c r="S23" s="146"/>
      <c r="T23" s="146"/>
    </row>
    <row r="24" spans="1:20" x14ac:dyDescent="0.3">
      <c r="A24" s="146" t="s">
        <v>155</v>
      </c>
      <c r="B24" s="146" t="s">
        <v>357</v>
      </c>
      <c r="C24" s="146" t="s">
        <v>2106</v>
      </c>
      <c r="D24" s="146">
        <v>1</v>
      </c>
      <c r="E24" s="146">
        <v>1</v>
      </c>
      <c r="F24" s="146">
        <v>1</v>
      </c>
      <c r="G24" s="146">
        <v>1</v>
      </c>
      <c r="H24" s="146">
        <v>1</v>
      </c>
      <c r="I24" s="146">
        <v>1</v>
      </c>
      <c r="J24" s="146">
        <v>1</v>
      </c>
      <c r="K24" s="146">
        <v>1</v>
      </c>
      <c r="L24" s="146">
        <v>1</v>
      </c>
      <c r="M24" s="146">
        <v>1</v>
      </c>
      <c r="N24" s="146">
        <v>1</v>
      </c>
      <c r="O24" s="146">
        <v>1</v>
      </c>
      <c r="P24" s="146">
        <v>1</v>
      </c>
      <c r="Q24" s="146">
        <v>1</v>
      </c>
      <c r="R24" s="146"/>
      <c r="S24" s="146"/>
      <c r="T24" s="146"/>
    </row>
    <row r="25" spans="1:20" x14ac:dyDescent="0.3">
      <c r="A25" s="146" t="s">
        <v>188</v>
      </c>
      <c r="B25" s="146" t="s">
        <v>2113</v>
      </c>
      <c r="C25" s="146" t="s">
        <v>2102</v>
      </c>
      <c r="D25" s="146">
        <v>1</v>
      </c>
      <c r="E25" s="146"/>
      <c r="F25" s="146"/>
      <c r="G25" s="146">
        <v>1</v>
      </c>
      <c r="H25" s="146">
        <v>1</v>
      </c>
      <c r="I25" s="146">
        <v>1</v>
      </c>
      <c r="J25" s="146"/>
      <c r="K25" s="146"/>
      <c r="L25" s="146"/>
      <c r="M25" s="146"/>
      <c r="N25" s="146">
        <v>1</v>
      </c>
      <c r="O25" s="146"/>
      <c r="P25" s="146"/>
      <c r="Q25" s="146"/>
      <c r="R25" s="146"/>
      <c r="S25" s="146"/>
      <c r="T25" s="146"/>
    </row>
    <row r="26" spans="1:20" x14ac:dyDescent="0.3">
      <c r="A26" s="146" t="s">
        <v>193</v>
      </c>
      <c r="B26" s="146" t="s">
        <v>1835</v>
      </c>
      <c r="C26" s="146" t="s">
        <v>2099</v>
      </c>
      <c r="D26" s="146">
        <v>1</v>
      </c>
      <c r="E26" s="146">
        <v>1</v>
      </c>
      <c r="F26" s="146">
        <v>1</v>
      </c>
      <c r="G26" s="146">
        <v>1</v>
      </c>
      <c r="H26" s="146">
        <v>1</v>
      </c>
      <c r="I26" s="146">
        <v>1</v>
      </c>
      <c r="J26" s="146">
        <v>1</v>
      </c>
      <c r="K26" s="146"/>
      <c r="L26" s="146"/>
      <c r="M26" s="146"/>
      <c r="N26" s="146">
        <v>1</v>
      </c>
      <c r="O26" s="146"/>
      <c r="P26" s="146">
        <v>1</v>
      </c>
      <c r="Q26" s="146"/>
      <c r="R26" s="146"/>
      <c r="S26" s="146"/>
      <c r="T26" s="146"/>
    </row>
    <row r="27" spans="1:20" x14ac:dyDescent="0.3">
      <c r="A27" s="146" t="s">
        <v>156</v>
      </c>
      <c r="B27" s="146" t="s">
        <v>395</v>
      </c>
      <c r="C27" s="146" t="s">
        <v>2106</v>
      </c>
      <c r="D27" s="146">
        <v>1</v>
      </c>
      <c r="E27" s="146">
        <v>1</v>
      </c>
      <c r="F27" s="146">
        <v>1</v>
      </c>
      <c r="G27" s="146">
        <v>1</v>
      </c>
      <c r="H27" s="146">
        <v>1</v>
      </c>
      <c r="I27" s="146">
        <v>1</v>
      </c>
      <c r="J27" s="146">
        <v>1</v>
      </c>
      <c r="K27" s="146">
        <v>1</v>
      </c>
      <c r="L27" s="146"/>
      <c r="M27" s="146"/>
      <c r="N27" s="146">
        <v>1</v>
      </c>
      <c r="O27" s="146"/>
      <c r="P27" s="146">
        <v>1</v>
      </c>
      <c r="Q27" s="146"/>
      <c r="R27" s="146"/>
      <c r="S27" s="146"/>
      <c r="T27" s="146"/>
    </row>
    <row r="28" spans="1:20" x14ac:dyDescent="0.3">
      <c r="A28" s="146" t="s">
        <v>198</v>
      </c>
      <c r="B28" s="146" t="s">
        <v>606</v>
      </c>
      <c r="C28" s="146" t="s">
        <v>2099</v>
      </c>
      <c r="D28" s="146">
        <v>1</v>
      </c>
      <c r="E28" s="146">
        <v>1</v>
      </c>
      <c r="F28" s="146"/>
      <c r="G28" s="146">
        <v>1</v>
      </c>
      <c r="H28" s="146">
        <v>1</v>
      </c>
      <c r="I28" s="146">
        <v>1</v>
      </c>
      <c r="J28" s="146">
        <v>1</v>
      </c>
      <c r="K28" s="146"/>
      <c r="L28" s="146"/>
      <c r="M28" s="146"/>
      <c r="N28" s="146">
        <v>1</v>
      </c>
      <c r="O28" s="146"/>
      <c r="P28" s="146">
        <v>1</v>
      </c>
      <c r="Q28" s="146"/>
      <c r="R28" s="146"/>
      <c r="S28" s="146"/>
      <c r="T28" s="146"/>
    </row>
    <row r="29" spans="1:20" x14ac:dyDescent="0.3">
      <c r="A29" s="146" t="s">
        <v>154</v>
      </c>
      <c r="B29" s="146" t="s">
        <v>2114</v>
      </c>
      <c r="C29" s="146" t="s">
        <v>2102</v>
      </c>
      <c r="D29" s="146">
        <v>1</v>
      </c>
      <c r="E29" s="146"/>
      <c r="F29" s="146"/>
      <c r="G29" s="146">
        <v>1</v>
      </c>
      <c r="H29" s="146"/>
      <c r="I29" s="146"/>
      <c r="J29" s="146"/>
      <c r="K29" s="146"/>
      <c r="L29" s="146"/>
      <c r="M29" s="146"/>
      <c r="N29" s="146">
        <v>1</v>
      </c>
      <c r="O29" s="146"/>
      <c r="P29" s="146">
        <v>1</v>
      </c>
      <c r="Q29" s="146"/>
      <c r="R29" s="146"/>
      <c r="S29" s="146"/>
      <c r="T29" s="146"/>
    </row>
    <row r="30" spans="1:20" x14ac:dyDescent="0.3">
      <c r="A30" s="146" t="s">
        <v>157</v>
      </c>
      <c r="B30" s="146" t="s">
        <v>426</v>
      </c>
      <c r="C30" s="146" t="s">
        <v>2099</v>
      </c>
      <c r="D30" s="146">
        <v>1</v>
      </c>
      <c r="E30" s="146">
        <v>1</v>
      </c>
      <c r="F30" s="146"/>
      <c r="G30" s="146">
        <v>1</v>
      </c>
      <c r="H30" s="146">
        <v>1</v>
      </c>
      <c r="I30" s="146">
        <v>1</v>
      </c>
      <c r="J30" s="146">
        <v>1</v>
      </c>
      <c r="K30" s="146"/>
      <c r="L30" s="146"/>
      <c r="M30" s="146"/>
      <c r="N30" s="146">
        <v>1</v>
      </c>
      <c r="O30" s="146"/>
      <c r="P30" s="146">
        <v>1</v>
      </c>
      <c r="Q30" s="146"/>
      <c r="R30" s="146"/>
      <c r="S30" s="146"/>
      <c r="T30" s="146"/>
    </row>
    <row r="31" spans="1:20" x14ac:dyDescent="0.3">
      <c r="A31" s="146" t="s">
        <v>157</v>
      </c>
      <c r="B31" s="146" t="s">
        <v>426</v>
      </c>
      <c r="C31" s="146" t="s">
        <v>2099</v>
      </c>
      <c r="D31" s="146">
        <v>1</v>
      </c>
      <c r="E31" s="146"/>
      <c r="F31" s="146"/>
      <c r="G31" s="146">
        <v>1</v>
      </c>
      <c r="H31" s="146"/>
      <c r="I31" s="146"/>
      <c r="J31" s="146"/>
      <c r="K31" s="146"/>
      <c r="L31" s="146"/>
      <c r="M31" s="146"/>
      <c r="N31" s="146">
        <v>1</v>
      </c>
      <c r="O31" s="146"/>
      <c r="P31" s="146">
        <v>1</v>
      </c>
      <c r="Q31" s="146"/>
      <c r="R31" s="146"/>
      <c r="S31" s="146"/>
      <c r="T31" s="146"/>
    </row>
    <row r="32" spans="1:20" x14ac:dyDescent="0.3">
      <c r="A32" s="146" t="s">
        <v>164</v>
      </c>
      <c r="B32" s="146" t="s">
        <v>2115</v>
      </c>
      <c r="C32" s="146" t="s">
        <v>2102</v>
      </c>
      <c r="D32" s="146">
        <v>1</v>
      </c>
      <c r="E32" s="146"/>
      <c r="F32" s="146"/>
      <c r="G32" s="146">
        <v>1</v>
      </c>
      <c r="H32" s="146"/>
      <c r="I32" s="146"/>
      <c r="J32" s="146"/>
      <c r="K32" s="146"/>
      <c r="L32" s="146"/>
      <c r="M32" s="146"/>
      <c r="N32" s="146">
        <v>1</v>
      </c>
      <c r="O32" s="146"/>
      <c r="P32" s="146">
        <v>1</v>
      </c>
      <c r="Q32" s="146"/>
      <c r="R32" s="146"/>
      <c r="S32" s="146"/>
      <c r="T32" s="146"/>
    </row>
    <row r="33" spans="1:20" x14ac:dyDescent="0.3">
      <c r="A33" s="146" t="s">
        <v>157</v>
      </c>
      <c r="B33" s="146" t="s">
        <v>2116</v>
      </c>
      <c r="C33" s="146" t="s">
        <v>2102</v>
      </c>
      <c r="D33" s="146">
        <v>1</v>
      </c>
      <c r="E33" s="146"/>
      <c r="F33" s="146"/>
      <c r="G33" s="146">
        <v>1</v>
      </c>
      <c r="H33" s="146"/>
      <c r="I33" s="146"/>
      <c r="J33" s="146"/>
      <c r="K33" s="146"/>
      <c r="L33" s="146"/>
      <c r="M33" s="146"/>
      <c r="N33" s="146">
        <v>1</v>
      </c>
      <c r="O33" s="146"/>
      <c r="P33" s="146">
        <v>1</v>
      </c>
      <c r="Q33" s="146"/>
      <c r="R33" s="146"/>
      <c r="S33" s="146"/>
      <c r="T33" s="146"/>
    </row>
    <row r="34" spans="1:20" x14ac:dyDescent="0.3">
      <c r="A34" s="146" t="s">
        <v>153</v>
      </c>
      <c r="B34" s="146" t="s">
        <v>292</v>
      </c>
      <c r="C34" s="146" t="s">
        <v>2099</v>
      </c>
      <c r="D34" s="146">
        <v>1</v>
      </c>
      <c r="E34" s="146"/>
      <c r="F34" s="146">
        <v>1</v>
      </c>
      <c r="G34" s="146">
        <v>1</v>
      </c>
      <c r="H34" s="146"/>
      <c r="I34" s="146">
        <v>1</v>
      </c>
      <c r="J34" s="146">
        <v>1</v>
      </c>
      <c r="K34" s="146"/>
      <c r="L34" s="146"/>
      <c r="M34" s="146"/>
      <c r="N34" s="146">
        <v>1</v>
      </c>
      <c r="O34" s="146"/>
      <c r="P34" s="146">
        <v>1</v>
      </c>
      <c r="Q34" s="146"/>
      <c r="R34" s="146">
        <v>1</v>
      </c>
      <c r="S34" s="146"/>
      <c r="T34" s="146"/>
    </row>
    <row r="35" spans="1:20" x14ac:dyDescent="0.3">
      <c r="A35" s="146" t="s">
        <v>157</v>
      </c>
      <c r="B35" s="146" t="s">
        <v>429</v>
      </c>
      <c r="C35" s="146" t="s">
        <v>2099</v>
      </c>
      <c r="D35" s="146">
        <v>1</v>
      </c>
      <c r="E35" s="146">
        <v>1</v>
      </c>
      <c r="F35" s="146"/>
      <c r="G35" s="146">
        <v>1</v>
      </c>
      <c r="H35" s="146">
        <v>1</v>
      </c>
      <c r="I35" s="146">
        <v>1</v>
      </c>
      <c r="J35" s="146"/>
      <c r="K35" s="146"/>
      <c r="L35" s="146"/>
      <c r="M35" s="146"/>
      <c r="N35" s="146">
        <v>1</v>
      </c>
      <c r="O35" s="146"/>
      <c r="P35" s="146">
        <v>1</v>
      </c>
      <c r="Q35" s="146"/>
      <c r="R35" s="146"/>
      <c r="S35" s="146"/>
      <c r="T35" s="146"/>
    </row>
    <row r="36" spans="1:20" x14ac:dyDescent="0.3">
      <c r="A36" s="146" t="s">
        <v>155</v>
      </c>
      <c r="B36" s="146" t="s">
        <v>359</v>
      </c>
      <c r="C36" s="146" t="s">
        <v>2099</v>
      </c>
      <c r="D36" s="146">
        <v>1</v>
      </c>
      <c r="E36" s="146">
        <v>1</v>
      </c>
      <c r="F36" s="146"/>
      <c r="G36" s="146">
        <v>1</v>
      </c>
      <c r="H36" s="146">
        <v>1</v>
      </c>
      <c r="I36" s="146">
        <v>1</v>
      </c>
      <c r="J36" s="146"/>
      <c r="K36" s="146"/>
      <c r="L36" s="146"/>
      <c r="M36" s="146"/>
      <c r="N36" s="146">
        <v>1</v>
      </c>
      <c r="O36" s="146"/>
      <c r="P36" s="146">
        <v>1</v>
      </c>
      <c r="Q36" s="146"/>
      <c r="R36" s="146"/>
      <c r="S36" s="146"/>
      <c r="T36" s="146"/>
    </row>
    <row r="37" spans="1:20" x14ac:dyDescent="0.3">
      <c r="A37" s="146" t="s">
        <v>154</v>
      </c>
      <c r="B37" s="146" t="s">
        <v>325</v>
      </c>
      <c r="C37" s="146" t="s">
        <v>2099</v>
      </c>
      <c r="D37" s="146">
        <v>1</v>
      </c>
      <c r="E37" s="146">
        <v>1</v>
      </c>
      <c r="F37" s="146"/>
      <c r="G37" s="146">
        <v>1</v>
      </c>
      <c r="H37" s="146">
        <v>1</v>
      </c>
      <c r="I37" s="146">
        <v>1</v>
      </c>
      <c r="J37" s="146">
        <v>1</v>
      </c>
      <c r="K37" s="146"/>
      <c r="L37" s="146"/>
      <c r="M37" s="146"/>
      <c r="N37" s="146">
        <v>1</v>
      </c>
      <c r="O37" s="146"/>
      <c r="P37" s="146">
        <v>1</v>
      </c>
      <c r="Q37" s="146"/>
      <c r="R37" s="146"/>
      <c r="S37" s="146"/>
      <c r="T37" s="146"/>
    </row>
    <row r="38" spans="1:20" x14ac:dyDescent="0.3">
      <c r="A38" s="146" t="s">
        <v>181</v>
      </c>
      <c r="B38" s="146" t="s">
        <v>1497</v>
      </c>
      <c r="C38" s="146" t="s">
        <v>2099</v>
      </c>
      <c r="D38" s="146">
        <v>1</v>
      </c>
      <c r="E38" s="146">
        <v>1</v>
      </c>
      <c r="F38" s="146"/>
      <c r="G38" s="146">
        <v>1</v>
      </c>
      <c r="H38" s="146">
        <v>1</v>
      </c>
      <c r="I38" s="146">
        <v>1</v>
      </c>
      <c r="J38" s="146"/>
      <c r="K38" s="146"/>
      <c r="L38" s="146"/>
      <c r="M38" s="146"/>
      <c r="N38" s="146">
        <v>1</v>
      </c>
      <c r="O38" s="146"/>
      <c r="P38" s="146">
        <v>1</v>
      </c>
      <c r="Q38" s="146"/>
      <c r="R38" s="146"/>
      <c r="S38" s="146"/>
      <c r="T38" s="146"/>
    </row>
    <row r="39" spans="1:20" x14ac:dyDescent="0.3">
      <c r="A39" s="146" t="s">
        <v>191</v>
      </c>
      <c r="B39" s="146" t="s">
        <v>1767</v>
      </c>
      <c r="C39" s="146" t="s">
        <v>2099</v>
      </c>
      <c r="D39" s="146">
        <v>1</v>
      </c>
      <c r="E39" s="146"/>
      <c r="F39" s="146"/>
      <c r="G39" s="146">
        <v>1</v>
      </c>
      <c r="H39" s="146">
        <v>1</v>
      </c>
      <c r="I39" s="146">
        <v>1</v>
      </c>
      <c r="J39" s="146"/>
      <c r="K39" s="146"/>
      <c r="L39" s="146"/>
      <c r="M39" s="146"/>
      <c r="N39" s="146">
        <v>1</v>
      </c>
      <c r="O39" s="146"/>
      <c r="P39" s="146">
        <v>1</v>
      </c>
      <c r="Q39" s="146"/>
      <c r="R39" s="146"/>
      <c r="S39" s="146"/>
      <c r="T39" s="146"/>
    </row>
    <row r="40" spans="1:20" x14ac:dyDescent="0.3">
      <c r="A40" s="146" t="s">
        <v>157</v>
      </c>
      <c r="B40" s="146" t="s">
        <v>2117</v>
      </c>
      <c r="C40" s="146" t="s">
        <v>149</v>
      </c>
      <c r="D40" s="146">
        <v>1</v>
      </c>
      <c r="E40" s="146">
        <v>1</v>
      </c>
      <c r="F40" s="146">
        <v>1</v>
      </c>
      <c r="G40" s="146">
        <v>1</v>
      </c>
      <c r="H40" s="146">
        <v>1</v>
      </c>
      <c r="I40" s="146">
        <v>1</v>
      </c>
      <c r="J40" s="146">
        <v>1</v>
      </c>
      <c r="K40" s="146">
        <v>1</v>
      </c>
      <c r="L40" s="146"/>
      <c r="M40" s="146"/>
      <c r="N40" s="146">
        <v>1</v>
      </c>
      <c r="O40" s="146"/>
      <c r="P40" s="146">
        <v>1</v>
      </c>
      <c r="Q40" s="146"/>
      <c r="R40" s="146"/>
      <c r="S40" s="146"/>
      <c r="T40" s="146"/>
    </row>
    <row r="41" spans="1:20" x14ac:dyDescent="0.3">
      <c r="A41" s="146" t="s">
        <v>190</v>
      </c>
      <c r="B41" s="146" t="s">
        <v>2118</v>
      </c>
      <c r="C41" s="146" t="s">
        <v>149</v>
      </c>
      <c r="D41" s="146">
        <v>1</v>
      </c>
      <c r="E41" s="146">
        <v>1</v>
      </c>
      <c r="F41" s="146">
        <v>1</v>
      </c>
      <c r="G41" s="146">
        <v>1</v>
      </c>
      <c r="H41" s="146">
        <v>1</v>
      </c>
      <c r="I41" s="146">
        <v>1</v>
      </c>
      <c r="J41" s="146">
        <v>1</v>
      </c>
      <c r="K41" s="146">
        <v>1</v>
      </c>
      <c r="L41" s="146">
        <v>1</v>
      </c>
      <c r="M41" s="146">
        <v>1</v>
      </c>
      <c r="N41" s="146">
        <v>1</v>
      </c>
      <c r="O41" s="146">
        <v>1</v>
      </c>
      <c r="P41" s="146">
        <v>1</v>
      </c>
      <c r="Q41" s="146"/>
      <c r="R41" s="146"/>
      <c r="S41" s="146"/>
      <c r="T41" s="146"/>
    </row>
    <row r="42" spans="1:20" x14ac:dyDescent="0.3">
      <c r="A42" s="146" t="s">
        <v>167</v>
      </c>
      <c r="B42" s="146" t="s">
        <v>2119</v>
      </c>
      <c r="C42" s="146" t="s">
        <v>149</v>
      </c>
      <c r="D42" s="146">
        <v>1</v>
      </c>
      <c r="E42" s="146">
        <v>1</v>
      </c>
      <c r="F42" s="146">
        <v>1</v>
      </c>
      <c r="G42" s="146">
        <v>1</v>
      </c>
      <c r="H42" s="146">
        <v>1</v>
      </c>
      <c r="I42" s="146">
        <v>1</v>
      </c>
      <c r="J42" s="146">
        <v>1</v>
      </c>
      <c r="K42" s="146">
        <v>1</v>
      </c>
      <c r="L42" s="146">
        <v>1</v>
      </c>
      <c r="M42" s="146">
        <v>1</v>
      </c>
      <c r="N42" s="146">
        <v>1</v>
      </c>
      <c r="O42" s="146">
        <v>1</v>
      </c>
      <c r="P42" s="146">
        <v>1</v>
      </c>
      <c r="Q42" s="146">
        <v>1</v>
      </c>
      <c r="R42" s="146"/>
      <c r="S42" s="146"/>
      <c r="T42" s="146"/>
    </row>
    <row r="43" spans="1:20" x14ac:dyDescent="0.3">
      <c r="A43" s="146" t="s">
        <v>190</v>
      </c>
      <c r="B43" s="146" t="s">
        <v>1745</v>
      </c>
      <c r="C43" s="146" t="s">
        <v>2106</v>
      </c>
      <c r="D43" s="146">
        <v>1</v>
      </c>
      <c r="E43" s="146">
        <v>1</v>
      </c>
      <c r="F43" s="146">
        <v>1</v>
      </c>
      <c r="G43" s="146">
        <v>1</v>
      </c>
      <c r="H43" s="146">
        <v>1</v>
      </c>
      <c r="I43" s="146">
        <v>1</v>
      </c>
      <c r="J43" s="146">
        <v>1</v>
      </c>
      <c r="K43" s="146">
        <v>1</v>
      </c>
      <c r="L43" s="146">
        <v>1</v>
      </c>
      <c r="M43" s="146">
        <v>1</v>
      </c>
      <c r="N43" s="146">
        <v>1</v>
      </c>
      <c r="O43" s="146"/>
      <c r="P43" s="146">
        <v>1</v>
      </c>
      <c r="Q43" s="146"/>
      <c r="R43" s="146"/>
      <c r="S43" s="146"/>
      <c r="T43" s="146"/>
    </row>
    <row r="44" spans="1:20" x14ac:dyDescent="0.3">
      <c r="A44" s="146" t="s">
        <v>168</v>
      </c>
      <c r="B44" s="146" t="s">
        <v>821</v>
      </c>
      <c r="C44" s="146" t="s">
        <v>2099</v>
      </c>
      <c r="D44" s="146">
        <v>1</v>
      </c>
      <c r="E44" s="146">
        <v>1</v>
      </c>
      <c r="F44" s="146"/>
      <c r="G44" s="146">
        <v>1</v>
      </c>
      <c r="H44" s="146">
        <v>1</v>
      </c>
      <c r="I44" s="146">
        <v>1</v>
      </c>
      <c r="J44" s="146"/>
      <c r="K44" s="146"/>
      <c r="L44" s="146"/>
      <c r="M44" s="146"/>
      <c r="N44" s="146">
        <v>1</v>
      </c>
      <c r="O44" s="146"/>
      <c r="P44" s="146">
        <v>1</v>
      </c>
      <c r="Q44" s="146"/>
      <c r="R44" s="146"/>
      <c r="S44" s="146"/>
      <c r="T44" s="146"/>
    </row>
    <row r="45" spans="1:20" x14ac:dyDescent="0.3">
      <c r="A45" s="146" t="s">
        <v>155</v>
      </c>
      <c r="B45" s="146" t="s">
        <v>361</v>
      </c>
      <c r="C45" s="146" t="s">
        <v>2099</v>
      </c>
      <c r="D45" s="146">
        <v>1</v>
      </c>
      <c r="E45" s="146">
        <v>1</v>
      </c>
      <c r="F45" s="146">
        <v>1</v>
      </c>
      <c r="G45" s="146">
        <v>1</v>
      </c>
      <c r="H45" s="146">
        <v>1</v>
      </c>
      <c r="I45" s="146">
        <v>1</v>
      </c>
      <c r="J45" s="146"/>
      <c r="K45" s="146"/>
      <c r="L45" s="146"/>
      <c r="M45" s="146"/>
      <c r="N45" s="146">
        <v>1</v>
      </c>
      <c r="O45" s="146"/>
      <c r="P45" s="146">
        <v>1</v>
      </c>
      <c r="Q45" s="146"/>
      <c r="R45" s="146"/>
      <c r="S45" s="146"/>
      <c r="T45" s="146"/>
    </row>
    <row r="46" spans="1:20" x14ac:dyDescent="0.3">
      <c r="A46" s="146" t="s">
        <v>179</v>
      </c>
      <c r="B46" s="146" t="s">
        <v>2120</v>
      </c>
      <c r="C46" s="146" t="s">
        <v>2099</v>
      </c>
      <c r="D46" s="146">
        <v>1</v>
      </c>
      <c r="E46" s="146">
        <v>1</v>
      </c>
      <c r="F46" s="146"/>
      <c r="G46" s="146">
        <v>1</v>
      </c>
      <c r="H46" s="146">
        <v>1</v>
      </c>
      <c r="I46" s="146">
        <v>1</v>
      </c>
      <c r="J46" s="146">
        <v>1</v>
      </c>
      <c r="K46" s="146">
        <v>1</v>
      </c>
      <c r="L46" s="146">
        <v>1</v>
      </c>
      <c r="M46" s="146"/>
      <c r="N46" s="146">
        <v>1</v>
      </c>
      <c r="O46" s="146">
        <v>1</v>
      </c>
      <c r="P46" s="146">
        <v>1</v>
      </c>
      <c r="Q46" s="146">
        <v>1</v>
      </c>
      <c r="R46" s="146"/>
      <c r="S46" s="146"/>
      <c r="T46" s="146"/>
    </row>
    <row r="47" spans="1:20" x14ac:dyDescent="0.3">
      <c r="A47" s="146" t="s">
        <v>179</v>
      </c>
      <c r="B47" s="146" t="s">
        <v>1326</v>
      </c>
      <c r="C47" s="146" t="s">
        <v>2106</v>
      </c>
      <c r="D47" s="146">
        <v>1</v>
      </c>
      <c r="E47" s="146">
        <v>1</v>
      </c>
      <c r="F47" s="146">
        <v>1</v>
      </c>
      <c r="G47" s="146">
        <v>1</v>
      </c>
      <c r="H47" s="146">
        <v>1</v>
      </c>
      <c r="I47" s="146">
        <v>1</v>
      </c>
      <c r="J47" s="146">
        <v>1</v>
      </c>
      <c r="K47" s="146">
        <v>1</v>
      </c>
      <c r="L47" s="146">
        <v>1</v>
      </c>
      <c r="M47" s="146">
        <v>1</v>
      </c>
      <c r="N47" s="146">
        <v>1</v>
      </c>
      <c r="O47" s="146">
        <v>1</v>
      </c>
      <c r="P47" s="146">
        <v>1</v>
      </c>
      <c r="Q47" s="146">
        <v>1</v>
      </c>
      <c r="R47" s="146"/>
      <c r="S47" s="146">
        <v>1</v>
      </c>
      <c r="T47" s="146"/>
    </row>
    <row r="48" spans="1:20" x14ac:dyDescent="0.3">
      <c r="A48" s="146" t="s">
        <v>158</v>
      </c>
      <c r="B48" s="146" t="s">
        <v>2121</v>
      </c>
      <c r="C48" s="146" t="s">
        <v>149</v>
      </c>
      <c r="D48" s="146">
        <v>1</v>
      </c>
      <c r="E48" s="146">
        <v>1</v>
      </c>
      <c r="F48" s="146">
        <v>1</v>
      </c>
      <c r="G48" s="146">
        <v>1</v>
      </c>
      <c r="H48" s="146">
        <v>1</v>
      </c>
      <c r="I48" s="146">
        <v>1</v>
      </c>
      <c r="J48" s="146">
        <v>1</v>
      </c>
      <c r="K48" s="146">
        <v>1</v>
      </c>
      <c r="L48" s="146"/>
      <c r="M48" s="146">
        <v>1</v>
      </c>
      <c r="N48" s="146">
        <v>1</v>
      </c>
      <c r="O48" s="146">
        <v>1</v>
      </c>
      <c r="P48" s="146">
        <v>1</v>
      </c>
      <c r="Q48" s="146"/>
      <c r="R48" s="146"/>
      <c r="S48" s="146"/>
      <c r="T48" s="146"/>
    </row>
    <row r="49" spans="1:20" x14ac:dyDescent="0.3">
      <c r="A49" s="146" t="s">
        <v>185</v>
      </c>
      <c r="B49" s="146" t="s">
        <v>2122</v>
      </c>
      <c r="C49" s="146" t="s">
        <v>149</v>
      </c>
      <c r="D49" s="146">
        <v>1</v>
      </c>
      <c r="E49" s="146">
        <v>1</v>
      </c>
      <c r="F49" s="146">
        <v>1</v>
      </c>
      <c r="G49" s="146">
        <v>1</v>
      </c>
      <c r="H49" s="146">
        <v>1</v>
      </c>
      <c r="I49" s="146">
        <v>1</v>
      </c>
      <c r="J49" s="146">
        <v>1</v>
      </c>
      <c r="K49" s="146"/>
      <c r="L49" s="146"/>
      <c r="M49" s="146">
        <v>1</v>
      </c>
      <c r="N49" s="146">
        <v>1</v>
      </c>
      <c r="O49" s="146">
        <v>1</v>
      </c>
      <c r="P49" s="146">
        <v>1</v>
      </c>
      <c r="Q49" s="146">
        <v>1</v>
      </c>
      <c r="R49" s="146"/>
      <c r="S49" s="146"/>
      <c r="T49" s="146"/>
    </row>
    <row r="50" spans="1:20" x14ac:dyDescent="0.3">
      <c r="A50" s="146" t="s">
        <v>158</v>
      </c>
      <c r="B50" s="146" t="s">
        <v>2123</v>
      </c>
      <c r="C50" s="146" t="s">
        <v>2102</v>
      </c>
      <c r="D50" s="146">
        <v>1</v>
      </c>
      <c r="E50" s="146"/>
      <c r="F50" s="146"/>
      <c r="G50" s="146">
        <v>1</v>
      </c>
      <c r="H50" s="146"/>
      <c r="I50" s="146"/>
      <c r="J50" s="146"/>
      <c r="K50" s="146"/>
      <c r="L50" s="146"/>
      <c r="M50" s="146"/>
      <c r="N50" s="146">
        <v>1</v>
      </c>
      <c r="O50" s="146"/>
      <c r="P50" s="146">
        <v>1</v>
      </c>
      <c r="Q50" s="146"/>
      <c r="R50" s="146"/>
      <c r="S50" s="146"/>
      <c r="T50" s="146"/>
    </row>
    <row r="51" spans="1:20" x14ac:dyDescent="0.3">
      <c r="A51" s="146" t="s">
        <v>199</v>
      </c>
      <c r="B51" s="146" t="s">
        <v>2124</v>
      </c>
      <c r="C51" s="146" t="s">
        <v>2102</v>
      </c>
      <c r="D51" s="146">
        <v>1</v>
      </c>
      <c r="E51" s="146"/>
      <c r="F51" s="146"/>
      <c r="G51" s="146">
        <v>1</v>
      </c>
      <c r="H51" s="146"/>
      <c r="I51" s="146"/>
      <c r="J51" s="146"/>
      <c r="K51" s="146"/>
      <c r="L51" s="146">
        <v>1</v>
      </c>
      <c r="M51" s="146"/>
      <c r="N51" s="146">
        <v>1</v>
      </c>
      <c r="O51" s="146"/>
      <c r="P51" s="146">
        <v>1</v>
      </c>
      <c r="Q51" s="146"/>
      <c r="R51" s="146"/>
      <c r="S51" s="146"/>
      <c r="T51" s="146"/>
    </row>
    <row r="52" spans="1:20" x14ac:dyDescent="0.3">
      <c r="A52" s="146" t="s">
        <v>170</v>
      </c>
      <c r="B52" s="146" t="s">
        <v>2125</v>
      </c>
      <c r="C52" s="146" t="s">
        <v>2102</v>
      </c>
      <c r="D52" s="146">
        <v>1</v>
      </c>
      <c r="E52" s="146"/>
      <c r="F52" s="146"/>
      <c r="G52" s="146">
        <v>1</v>
      </c>
      <c r="H52" s="146"/>
      <c r="I52" s="146"/>
      <c r="J52" s="146"/>
      <c r="K52" s="146"/>
      <c r="L52" s="146"/>
      <c r="M52" s="146"/>
      <c r="N52" s="146">
        <v>1</v>
      </c>
      <c r="O52" s="146"/>
      <c r="P52" s="146">
        <v>1</v>
      </c>
      <c r="Q52" s="146"/>
      <c r="R52" s="146"/>
      <c r="S52" s="146"/>
      <c r="T52" s="146"/>
    </row>
    <row r="53" spans="1:20" x14ac:dyDescent="0.3">
      <c r="A53" s="146" t="s">
        <v>183</v>
      </c>
      <c r="B53" s="146" t="s">
        <v>1560</v>
      </c>
      <c r="C53" s="146" t="s">
        <v>2099</v>
      </c>
      <c r="D53" s="146">
        <v>1</v>
      </c>
      <c r="E53" s="146">
        <v>1</v>
      </c>
      <c r="F53" s="146"/>
      <c r="G53" s="146">
        <v>1</v>
      </c>
      <c r="H53" s="146">
        <v>1</v>
      </c>
      <c r="I53" s="146">
        <v>1</v>
      </c>
      <c r="J53" s="146"/>
      <c r="K53" s="146"/>
      <c r="L53" s="146"/>
      <c r="M53" s="146"/>
      <c r="N53" s="146">
        <v>1</v>
      </c>
      <c r="O53" s="146"/>
      <c r="P53" s="146">
        <v>1</v>
      </c>
      <c r="Q53" s="146"/>
      <c r="R53" s="146"/>
      <c r="S53" s="146"/>
      <c r="T53" s="146"/>
    </row>
    <row r="54" spans="1:20" x14ac:dyDescent="0.3">
      <c r="A54" s="146" t="s">
        <v>180</v>
      </c>
      <c r="B54" s="146" t="s">
        <v>1426</v>
      </c>
      <c r="C54" s="146" t="s">
        <v>2099</v>
      </c>
      <c r="D54" s="146">
        <v>1</v>
      </c>
      <c r="E54" s="146">
        <v>1</v>
      </c>
      <c r="F54" s="146"/>
      <c r="G54" s="146">
        <v>1</v>
      </c>
      <c r="H54" s="146">
        <v>1</v>
      </c>
      <c r="I54" s="146">
        <v>1</v>
      </c>
      <c r="J54" s="146">
        <v>1</v>
      </c>
      <c r="K54" s="146"/>
      <c r="L54" s="146"/>
      <c r="M54" s="146"/>
      <c r="N54" s="146">
        <v>1</v>
      </c>
      <c r="O54" s="146"/>
      <c r="P54" s="146">
        <v>1</v>
      </c>
      <c r="Q54" s="146"/>
      <c r="R54" s="146"/>
      <c r="S54" s="146"/>
      <c r="T54" s="146"/>
    </row>
    <row r="55" spans="1:20" x14ac:dyDescent="0.3">
      <c r="A55" s="146" t="s">
        <v>199</v>
      </c>
      <c r="B55" s="146" t="s">
        <v>2126</v>
      </c>
      <c r="C55" s="146" t="s">
        <v>2102</v>
      </c>
      <c r="D55" s="146">
        <v>1</v>
      </c>
      <c r="E55" s="146"/>
      <c r="F55" s="146"/>
      <c r="G55" s="146">
        <v>1</v>
      </c>
      <c r="H55" s="146"/>
      <c r="I55" s="146"/>
      <c r="J55" s="146"/>
      <c r="K55" s="146"/>
      <c r="L55" s="146"/>
      <c r="M55" s="146"/>
      <c r="N55" s="146">
        <v>1</v>
      </c>
      <c r="O55" s="146"/>
      <c r="P55" s="146">
        <v>1</v>
      </c>
      <c r="Q55" s="146"/>
      <c r="R55" s="146"/>
      <c r="S55" s="146"/>
      <c r="T55" s="146"/>
    </row>
    <row r="56" spans="1:20" x14ac:dyDescent="0.3">
      <c r="A56" s="146" t="s">
        <v>158</v>
      </c>
      <c r="B56" s="146" t="s">
        <v>2127</v>
      </c>
      <c r="C56" s="146" t="s">
        <v>2106</v>
      </c>
      <c r="D56" s="146">
        <v>1</v>
      </c>
      <c r="E56" s="146">
        <v>1</v>
      </c>
      <c r="F56" s="146">
        <v>1</v>
      </c>
      <c r="G56" s="146">
        <v>1</v>
      </c>
      <c r="H56" s="146">
        <v>1</v>
      </c>
      <c r="I56" s="146">
        <v>1</v>
      </c>
      <c r="J56" s="146">
        <v>1</v>
      </c>
      <c r="K56" s="146">
        <v>1</v>
      </c>
      <c r="L56" s="146">
        <v>1</v>
      </c>
      <c r="M56" s="146">
        <v>1</v>
      </c>
      <c r="N56" s="146">
        <v>1</v>
      </c>
      <c r="O56" s="146">
        <v>1</v>
      </c>
      <c r="P56" s="146">
        <v>1</v>
      </c>
      <c r="Q56" s="146"/>
      <c r="R56" s="146"/>
      <c r="S56" s="146"/>
      <c r="T56" s="146"/>
    </row>
    <row r="57" spans="1:20" x14ac:dyDescent="0.3">
      <c r="A57" s="146" t="s">
        <v>194</v>
      </c>
      <c r="B57" s="146" t="s">
        <v>1875</v>
      </c>
      <c r="C57" s="146" t="s">
        <v>2099</v>
      </c>
      <c r="D57" s="146">
        <v>1</v>
      </c>
      <c r="E57" s="146">
        <v>1</v>
      </c>
      <c r="F57" s="146"/>
      <c r="G57" s="146">
        <v>1</v>
      </c>
      <c r="H57" s="146">
        <v>1</v>
      </c>
      <c r="I57" s="146">
        <v>1</v>
      </c>
      <c r="J57" s="146">
        <v>1</v>
      </c>
      <c r="K57" s="146"/>
      <c r="L57" s="146"/>
      <c r="M57" s="146"/>
      <c r="N57" s="146">
        <v>1</v>
      </c>
      <c r="O57" s="146"/>
      <c r="P57" s="146">
        <v>1</v>
      </c>
      <c r="Q57" s="146"/>
      <c r="R57" s="146"/>
      <c r="S57" s="146"/>
      <c r="T57" s="146"/>
    </row>
    <row r="58" spans="1:20" x14ac:dyDescent="0.3">
      <c r="A58" s="146" t="s">
        <v>182</v>
      </c>
      <c r="B58" s="146" t="s">
        <v>2128</v>
      </c>
      <c r="C58" s="146" t="s">
        <v>2102</v>
      </c>
      <c r="D58" s="146"/>
      <c r="E58" s="146"/>
      <c r="F58" s="146"/>
      <c r="G58" s="146">
        <v>1</v>
      </c>
      <c r="H58" s="146"/>
      <c r="I58" s="146"/>
      <c r="J58" s="146"/>
      <c r="K58" s="146"/>
      <c r="L58" s="146"/>
      <c r="M58" s="146"/>
      <c r="N58" s="146">
        <v>1</v>
      </c>
      <c r="O58" s="146"/>
      <c r="P58" s="146">
        <v>1</v>
      </c>
      <c r="Q58" s="146"/>
      <c r="R58" s="146"/>
      <c r="S58" s="146"/>
      <c r="T58" s="146"/>
    </row>
    <row r="59" spans="1:20" x14ac:dyDescent="0.3">
      <c r="A59" s="146" t="s">
        <v>194</v>
      </c>
      <c r="B59" s="146" t="s">
        <v>1878</v>
      </c>
      <c r="C59" s="146" t="s">
        <v>2099</v>
      </c>
      <c r="D59" s="146">
        <v>1</v>
      </c>
      <c r="E59" s="146"/>
      <c r="F59" s="146"/>
      <c r="G59" s="146">
        <v>1</v>
      </c>
      <c r="H59" s="146">
        <v>1</v>
      </c>
      <c r="I59" s="146">
        <v>1</v>
      </c>
      <c r="J59" s="146"/>
      <c r="K59" s="146"/>
      <c r="L59" s="146"/>
      <c r="M59" s="146"/>
      <c r="N59" s="146">
        <v>1</v>
      </c>
      <c r="O59" s="146"/>
      <c r="P59" s="146">
        <v>1</v>
      </c>
      <c r="Q59" s="146"/>
      <c r="R59" s="146"/>
      <c r="S59" s="146"/>
      <c r="T59" s="146"/>
    </row>
    <row r="60" spans="1:20" x14ac:dyDescent="0.3">
      <c r="A60" s="146" t="s">
        <v>185</v>
      </c>
      <c r="B60" s="146" t="s">
        <v>2129</v>
      </c>
      <c r="C60" s="146" t="s">
        <v>2102</v>
      </c>
      <c r="D60" s="146">
        <v>1</v>
      </c>
      <c r="E60" s="146"/>
      <c r="F60" s="146"/>
      <c r="G60" s="146">
        <v>1</v>
      </c>
      <c r="H60" s="146"/>
      <c r="I60" s="146"/>
      <c r="J60" s="146"/>
      <c r="K60" s="146"/>
      <c r="L60" s="146"/>
      <c r="M60" s="146"/>
      <c r="N60" s="146">
        <v>1</v>
      </c>
      <c r="O60" s="146"/>
      <c r="P60" s="146">
        <v>1</v>
      </c>
      <c r="Q60" s="146"/>
      <c r="R60" s="146"/>
      <c r="S60" s="146"/>
      <c r="T60" s="146"/>
    </row>
    <row r="61" spans="1:20" x14ac:dyDescent="0.3">
      <c r="A61" s="146" t="s">
        <v>191</v>
      </c>
      <c r="B61" s="146" t="s">
        <v>1771</v>
      </c>
      <c r="C61" s="146" t="s">
        <v>2099</v>
      </c>
      <c r="D61" s="146">
        <v>1</v>
      </c>
      <c r="E61" s="146">
        <v>1</v>
      </c>
      <c r="F61" s="146"/>
      <c r="G61" s="146">
        <v>1</v>
      </c>
      <c r="H61" s="146">
        <v>1</v>
      </c>
      <c r="I61" s="146">
        <v>1</v>
      </c>
      <c r="J61" s="146">
        <v>1</v>
      </c>
      <c r="K61" s="146"/>
      <c r="L61" s="146"/>
      <c r="M61" s="146"/>
      <c r="N61" s="146">
        <v>1</v>
      </c>
      <c r="O61" s="146"/>
      <c r="P61" s="146">
        <v>1</v>
      </c>
      <c r="Q61" s="146"/>
      <c r="R61" s="146"/>
      <c r="S61" s="146"/>
      <c r="T61" s="146"/>
    </row>
    <row r="62" spans="1:20" x14ac:dyDescent="0.3">
      <c r="A62" s="146" t="s">
        <v>184</v>
      </c>
      <c r="B62" s="146" t="s">
        <v>1597</v>
      </c>
      <c r="C62" s="146" t="s">
        <v>2099</v>
      </c>
      <c r="D62" s="146">
        <v>1</v>
      </c>
      <c r="E62" s="146">
        <v>1</v>
      </c>
      <c r="F62" s="146"/>
      <c r="G62" s="146">
        <v>1</v>
      </c>
      <c r="H62" s="146">
        <v>1</v>
      </c>
      <c r="I62" s="146">
        <v>1</v>
      </c>
      <c r="J62" s="146">
        <v>1</v>
      </c>
      <c r="K62" s="146"/>
      <c r="L62" s="146"/>
      <c r="M62" s="146"/>
      <c r="N62" s="146">
        <v>1</v>
      </c>
      <c r="O62" s="146"/>
      <c r="P62" s="146">
        <v>1</v>
      </c>
      <c r="Q62" s="146"/>
      <c r="R62" s="146"/>
      <c r="S62" s="146"/>
      <c r="T62" s="146"/>
    </row>
    <row r="63" spans="1:20" x14ac:dyDescent="0.3">
      <c r="A63" s="146" t="s">
        <v>162</v>
      </c>
      <c r="B63" s="146" t="s">
        <v>2130</v>
      </c>
      <c r="C63" s="146" t="s">
        <v>2102</v>
      </c>
      <c r="D63" s="146">
        <v>1</v>
      </c>
      <c r="E63" s="146"/>
      <c r="F63" s="146"/>
      <c r="G63" s="146">
        <v>1</v>
      </c>
      <c r="H63" s="146"/>
      <c r="I63" s="146"/>
      <c r="J63" s="146"/>
      <c r="K63" s="146"/>
      <c r="L63" s="146"/>
      <c r="M63" s="146"/>
      <c r="N63" s="146">
        <v>1</v>
      </c>
      <c r="O63" s="146"/>
      <c r="P63" s="146">
        <v>1</v>
      </c>
      <c r="Q63" s="146"/>
      <c r="R63" s="146"/>
      <c r="S63" s="146"/>
      <c r="T63" s="146"/>
    </row>
    <row r="64" spans="1:20" x14ac:dyDescent="0.3">
      <c r="A64" s="146" t="s">
        <v>183</v>
      </c>
      <c r="B64" s="146" t="s">
        <v>1561</v>
      </c>
      <c r="C64" s="146" t="s">
        <v>2099</v>
      </c>
      <c r="D64" s="146">
        <v>1</v>
      </c>
      <c r="E64" s="146"/>
      <c r="F64" s="146"/>
      <c r="G64" s="146">
        <v>1</v>
      </c>
      <c r="H64" s="146">
        <v>1</v>
      </c>
      <c r="I64" s="146">
        <v>1</v>
      </c>
      <c r="J64" s="146"/>
      <c r="K64" s="146"/>
      <c r="L64" s="146"/>
      <c r="M64" s="146"/>
      <c r="N64" s="146">
        <v>1</v>
      </c>
      <c r="O64" s="146"/>
      <c r="P64" s="146">
        <v>1</v>
      </c>
      <c r="Q64" s="146"/>
      <c r="R64" s="146"/>
      <c r="S64" s="146"/>
      <c r="T64" s="146"/>
    </row>
    <row r="65" spans="1:20" x14ac:dyDescent="0.3">
      <c r="A65" s="146" t="s">
        <v>164</v>
      </c>
      <c r="B65" s="146" t="s">
        <v>663</v>
      </c>
      <c r="C65" s="146" t="s">
        <v>2099</v>
      </c>
      <c r="D65" s="146">
        <v>1</v>
      </c>
      <c r="E65" s="146">
        <v>1</v>
      </c>
      <c r="F65" s="146"/>
      <c r="G65" s="146">
        <v>1</v>
      </c>
      <c r="H65" s="146">
        <v>1</v>
      </c>
      <c r="I65" s="146">
        <v>1</v>
      </c>
      <c r="J65" s="146">
        <v>1</v>
      </c>
      <c r="K65" s="146"/>
      <c r="L65" s="146"/>
      <c r="M65" s="146"/>
      <c r="N65" s="146">
        <v>1</v>
      </c>
      <c r="O65" s="146"/>
      <c r="P65" s="146">
        <v>1</v>
      </c>
      <c r="Q65" s="146"/>
      <c r="R65" s="146"/>
      <c r="S65" s="146"/>
      <c r="T65" s="146"/>
    </row>
    <row r="66" spans="1:20" x14ac:dyDescent="0.3">
      <c r="A66" s="146" t="s">
        <v>158</v>
      </c>
      <c r="B66" s="146" t="s">
        <v>2131</v>
      </c>
      <c r="C66" s="146" t="s">
        <v>2102</v>
      </c>
      <c r="D66" s="146">
        <v>1</v>
      </c>
      <c r="E66" s="146"/>
      <c r="F66" s="146"/>
      <c r="G66" s="146">
        <v>1</v>
      </c>
      <c r="H66" s="146">
        <v>1</v>
      </c>
      <c r="I66" s="146">
        <v>1</v>
      </c>
      <c r="J66" s="146"/>
      <c r="K66" s="146"/>
      <c r="L66" s="146"/>
      <c r="M66" s="146"/>
      <c r="N66" s="146">
        <v>1</v>
      </c>
      <c r="O66" s="146"/>
      <c r="P66" s="146"/>
      <c r="Q66" s="146"/>
      <c r="R66" s="146"/>
      <c r="S66" s="146"/>
      <c r="T66" s="146"/>
    </row>
    <row r="67" spans="1:20" x14ac:dyDescent="0.3">
      <c r="A67" s="146" t="s">
        <v>166</v>
      </c>
      <c r="B67" s="146" t="s">
        <v>2132</v>
      </c>
      <c r="C67" s="146" t="s">
        <v>2102</v>
      </c>
      <c r="D67" s="146">
        <v>1</v>
      </c>
      <c r="E67" s="146"/>
      <c r="F67" s="146"/>
      <c r="G67" s="146">
        <v>1</v>
      </c>
      <c r="H67" s="146"/>
      <c r="I67" s="146"/>
      <c r="J67" s="146"/>
      <c r="K67" s="146"/>
      <c r="L67" s="146"/>
      <c r="M67" s="146"/>
      <c r="N67" s="146">
        <v>1</v>
      </c>
      <c r="O67" s="146"/>
      <c r="P67" s="146">
        <v>1</v>
      </c>
      <c r="Q67" s="146"/>
      <c r="R67" s="146"/>
      <c r="S67" s="146"/>
      <c r="T67" s="146"/>
    </row>
    <row r="68" spans="1:20" x14ac:dyDescent="0.3">
      <c r="A68" s="146" t="s">
        <v>163</v>
      </c>
      <c r="B68" s="146" t="s">
        <v>2133</v>
      </c>
      <c r="C68" s="146" t="s">
        <v>2099</v>
      </c>
      <c r="D68" s="146">
        <v>1</v>
      </c>
      <c r="E68" s="146">
        <v>1</v>
      </c>
      <c r="F68" s="146">
        <v>1</v>
      </c>
      <c r="G68" s="146">
        <v>1</v>
      </c>
      <c r="H68" s="146">
        <v>1</v>
      </c>
      <c r="I68" s="146">
        <v>1</v>
      </c>
      <c r="J68" s="146">
        <v>1</v>
      </c>
      <c r="K68" s="146">
        <v>1</v>
      </c>
      <c r="L68" s="146">
        <v>1</v>
      </c>
      <c r="M68" s="146">
        <v>1</v>
      </c>
      <c r="N68" s="146">
        <v>1</v>
      </c>
      <c r="O68" s="146"/>
      <c r="P68" s="146">
        <v>1</v>
      </c>
      <c r="Q68" s="146"/>
      <c r="R68" s="146"/>
      <c r="S68" s="146"/>
      <c r="T68" s="146"/>
    </row>
    <row r="69" spans="1:20" x14ac:dyDescent="0.3">
      <c r="A69" s="146" t="s">
        <v>165</v>
      </c>
      <c r="B69" s="146" t="s">
        <v>2134</v>
      </c>
      <c r="C69" s="146" t="s">
        <v>2099</v>
      </c>
      <c r="D69" s="146">
        <v>1</v>
      </c>
      <c r="E69" s="146"/>
      <c r="F69" s="146"/>
      <c r="G69" s="146">
        <v>1</v>
      </c>
      <c r="H69" s="146"/>
      <c r="I69" s="146"/>
      <c r="J69" s="146"/>
      <c r="K69" s="146"/>
      <c r="L69" s="146"/>
      <c r="M69" s="146"/>
      <c r="N69" s="146">
        <v>1</v>
      </c>
      <c r="O69" s="146"/>
      <c r="P69" s="146">
        <v>1</v>
      </c>
      <c r="Q69" s="146"/>
      <c r="R69" s="146">
        <v>1</v>
      </c>
      <c r="S69" s="146"/>
      <c r="T69" s="146"/>
    </row>
    <row r="70" spans="1:20" x14ac:dyDescent="0.3">
      <c r="A70" s="146" t="s">
        <v>183</v>
      </c>
      <c r="B70" s="146" t="s">
        <v>2135</v>
      </c>
      <c r="C70" s="146" t="s">
        <v>2102</v>
      </c>
      <c r="D70" s="146">
        <v>1</v>
      </c>
      <c r="E70" s="146"/>
      <c r="F70" s="146"/>
      <c r="G70" s="146">
        <v>1</v>
      </c>
      <c r="H70" s="146"/>
      <c r="I70" s="146"/>
      <c r="J70" s="146">
        <v>1</v>
      </c>
      <c r="K70" s="146"/>
      <c r="L70" s="146"/>
      <c r="M70" s="146"/>
      <c r="N70" s="146">
        <v>1</v>
      </c>
      <c r="O70" s="146"/>
      <c r="P70" s="146">
        <v>1</v>
      </c>
      <c r="Q70" s="146"/>
      <c r="R70" s="146">
        <v>1</v>
      </c>
      <c r="S70" s="146"/>
      <c r="T70" s="146"/>
    </row>
    <row r="71" spans="1:20" x14ac:dyDescent="0.3">
      <c r="A71" s="146" t="s">
        <v>167</v>
      </c>
      <c r="B71" s="146" t="s">
        <v>786</v>
      </c>
      <c r="C71" s="146" t="s">
        <v>2099</v>
      </c>
      <c r="D71" s="146">
        <v>1</v>
      </c>
      <c r="E71" s="146">
        <v>1</v>
      </c>
      <c r="F71" s="146"/>
      <c r="G71" s="146">
        <v>1</v>
      </c>
      <c r="H71" s="146">
        <v>1</v>
      </c>
      <c r="I71" s="146">
        <v>1</v>
      </c>
      <c r="J71" s="146">
        <v>1</v>
      </c>
      <c r="K71" s="146"/>
      <c r="L71" s="146"/>
      <c r="M71" s="146"/>
      <c r="N71" s="146">
        <v>1</v>
      </c>
      <c r="O71" s="146"/>
      <c r="P71" s="146">
        <v>1</v>
      </c>
      <c r="Q71" s="146"/>
      <c r="R71" s="146"/>
      <c r="S71" s="146"/>
      <c r="T71" s="146"/>
    </row>
    <row r="72" spans="1:20" x14ac:dyDescent="0.3">
      <c r="A72" s="146" t="s">
        <v>183</v>
      </c>
      <c r="B72" s="146" t="s">
        <v>2136</v>
      </c>
      <c r="C72" s="146" t="s">
        <v>2102</v>
      </c>
      <c r="D72" s="146">
        <v>1</v>
      </c>
      <c r="E72" s="146"/>
      <c r="F72" s="146"/>
      <c r="G72" s="146">
        <v>1</v>
      </c>
      <c r="H72" s="146"/>
      <c r="I72" s="146"/>
      <c r="J72" s="146"/>
      <c r="K72" s="146"/>
      <c r="L72" s="146"/>
      <c r="M72" s="146"/>
      <c r="N72" s="146">
        <v>1</v>
      </c>
      <c r="O72" s="146"/>
      <c r="P72" s="146">
        <v>1</v>
      </c>
      <c r="Q72" s="146"/>
      <c r="R72" s="146"/>
      <c r="S72" s="146"/>
      <c r="T72" s="146"/>
    </row>
    <row r="73" spans="1:20" x14ac:dyDescent="0.3">
      <c r="A73" s="146" t="s">
        <v>200</v>
      </c>
      <c r="B73" s="146" t="s">
        <v>2137</v>
      </c>
      <c r="C73" s="146" t="s">
        <v>149</v>
      </c>
      <c r="D73" s="146">
        <v>1</v>
      </c>
      <c r="E73" s="146">
        <v>1</v>
      </c>
      <c r="F73" s="146">
        <v>1</v>
      </c>
      <c r="G73" s="146">
        <v>1</v>
      </c>
      <c r="H73" s="146">
        <v>1</v>
      </c>
      <c r="I73" s="146">
        <v>1</v>
      </c>
      <c r="J73" s="146">
        <v>1</v>
      </c>
      <c r="K73" s="146">
        <v>1</v>
      </c>
      <c r="L73" s="146"/>
      <c r="M73" s="146">
        <v>1</v>
      </c>
      <c r="N73" s="146">
        <v>1</v>
      </c>
      <c r="O73" s="146"/>
      <c r="P73" s="146">
        <v>1</v>
      </c>
      <c r="Q73" s="146"/>
      <c r="R73" s="146"/>
      <c r="S73" s="146"/>
      <c r="T73" s="146"/>
    </row>
    <row r="74" spans="1:20" x14ac:dyDescent="0.3">
      <c r="A74" s="146" t="s">
        <v>177</v>
      </c>
      <c r="B74" s="146" t="s">
        <v>2138</v>
      </c>
      <c r="C74" s="146" t="s">
        <v>2099</v>
      </c>
      <c r="D74" s="146">
        <v>1</v>
      </c>
      <c r="E74" s="146"/>
      <c r="F74" s="146"/>
      <c r="G74" s="146">
        <v>1</v>
      </c>
      <c r="H74" s="146"/>
      <c r="I74" s="146"/>
      <c r="J74" s="146"/>
      <c r="K74" s="146"/>
      <c r="L74" s="146"/>
      <c r="M74" s="146"/>
      <c r="N74" s="146">
        <v>1</v>
      </c>
      <c r="O74" s="146"/>
      <c r="P74" s="146">
        <v>1</v>
      </c>
      <c r="Q74" s="146"/>
      <c r="R74" s="146"/>
      <c r="S74" s="146"/>
      <c r="T74" s="146"/>
    </row>
    <row r="75" spans="1:20" x14ac:dyDescent="0.3">
      <c r="A75" s="146" t="s">
        <v>180</v>
      </c>
      <c r="B75" s="146" t="s">
        <v>1427</v>
      </c>
      <c r="C75" s="146" t="s">
        <v>2099</v>
      </c>
      <c r="D75" s="146">
        <v>1</v>
      </c>
      <c r="E75" s="146">
        <v>1</v>
      </c>
      <c r="F75" s="146"/>
      <c r="G75" s="146">
        <v>1</v>
      </c>
      <c r="H75" s="146">
        <v>1</v>
      </c>
      <c r="I75" s="146">
        <v>1</v>
      </c>
      <c r="J75" s="146">
        <v>1</v>
      </c>
      <c r="K75" s="146"/>
      <c r="L75" s="146"/>
      <c r="M75" s="146"/>
      <c r="N75" s="146">
        <v>1</v>
      </c>
      <c r="O75" s="146"/>
      <c r="P75" s="146">
        <v>1</v>
      </c>
      <c r="Q75" s="146"/>
      <c r="R75" s="146"/>
      <c r="S75" s="146"/>
      <c r="T75" s="146"/>
    </row>
    <row r="76" spans="1:20" x14ac:dyDescent="0.3">
      <c r="A76" s="146" t="s">
        <v>168</v>
      </c>
      <c r="B76" s="146" t="s">
        <v>822</v>
      </c>
      <c r="C76" s="146" t="s">
        <v>2099</v>
      </c>
      <c r="D76" s="146">
        <v>1</v>
      </c>
      <c r="E76" s="146">
        <v>1</v>
      </c>
      <c r="F76" s="146"/>
      <c r="G76" s="146">
        <v>1</v>
      </c>
      <c r="H76" s="146">
        <v>1</v>
      </c>
      <c r="I76" s="146">
        <v>1</v>
      </c>
      <c r="J76" s="146"/>
      <c r="K76" s="146"/>
      <c r="L76" s="146"/>
      <c r="M76" s="146"/>
      <c r="N76" s="146">
        <v>1</v>
      </c>
      <c r="O76" s="146"/>
      <c r="P76" s="146">
        <v>1</v>
      </c>
      <c r="Q76" s="146"/>
      <c r="R76" s="146"/>
      <c r="S76" s="146"/>
      <c r="T76" s="146"/>
    </row>
    <row r="77" spans="1:20" x14ac:dyDescent="0.3">
      <c r="A77" s="146" t="s">
        <v>177</v>
      </c>
      <c r="B77" s="146" t="s">
        <v>1221</v>
      </c>
      <c r="C77" s="146" t="s">
        <v>2099</v>
      </c>
      <c r="D77" s="146">
        <v>1</v>
      </c>
      <c r="E77" s="146">
        <v>1</v>
      </c>
      <c r="F77" s="146"/>
      <c r="G77" s="146">
        <v>1</v>
      </c>
      <c r="H77" s="146">
        <v>1</v>
      </c>
      <c r="I77" s="146">
        <v>1</v>
      </c>
      <c r="J77" s="146"/>
      <c r="K77" s="146"/>
      <c r="L77" s="146"/>
      <c r="M77" s="146"/>
      <c r="N77" s="146">
        <v>1</v>
      </c>
      <c r="O77" s="146"/>
      <c r="P77" s="146">
        <v>1</v>
      </c>
      <c r="Q77" s="146"/>
      <c r="R77" s="146"/>
      <c r="S77" s="146"/>
      <c r="T77" s="146"/>
    </row>
    <row r="78" spans="1:20" x14ac:dyDescent="0.3">
      <c r="A78" s="146" t="s">
        <v>163</v>
      </c>
      <c r="B78" s="146" t="s">
        <v>2139</v>
      </c>
      <c r="C78" s="146" t="s">
        <v>2102</v>
      </c>
      <c r="D78" s="146">
        <v>1</v>
      </c>
      <c r="E78" s="146"/>
      <c r="F78" s="146"/>
      <c r="G78" s="146">
        <v>1</v>
      </c>
      <c r="H78" s="146"/>
      <c r="I78" s="146"/>
      <c r="J78" s="146"/>
      <c r="K78" s="146"/>
      <c r="L78" s="146"/>
      <c r="M78" s="146"/>
      <c r="N78" s="146">
        <v>1</v>
      </c>
      <c r="O78" s="146"/>
      <c r="P78" s="146">
        <v>1</v>
      </c>
      <c r="Q78" s="146"/>
      <c r="R78" s="146"/>
      <c r="S78" s="146"/>
      <c r="T78" s="146"/>
    </row>
    <row r="79" spans="1:20" x14ac:dyDescent="0.3">
      <c r="A79" s="146" t="s">
        <v>191</v>
      </c>
      <c r="B79" s="146" t="s">
        <v>2140</v>
      </c>
      <c r="C79" s="146" t="s">
        <v>2102</v>
      </c>
      <c r="D79" s="146">
        <v>1</v>
      </c>
      <c r="E79" s="146"/>
      <c r="F79" s="146"/>
      <c r="G79" s="146">
        <v>1</v>
      </c>
      <c r="H79" s="146"/>
      <c r="I79" s="146"/>
      <c r="J79" s="146"/>
      <c r="K79" s="146"/>
      <c r="L79" s="146"/>
      <c r="M79" s="146"/>
      <c r="N79" s="146">
        <v>1</v>
      </c>
      <c r="O79" s="146"/>
      <c r="P79" s="146">
        <v>1</v>
      </c>
      <c r="Q79" s="146"/>
      <c r="R79" s="146"/>
      <c r="S79" s="146"/>
      <c r="T79" s="146"/>
    </row>
    <row r="80" spans="1:20" x14ac:dyDescent="0.3">
      <c r="A80" s="146" t="s">
        <v>187</v>
      </c>
      <c r="B80" s="146" t="s">
        <v>1660</v>
      </c>
      <c r="C80" s="146" t="s">
        <v>2099</v>
      </c>
      <c r="D80" s="146">
        <v>1</v>
      </c>
      <c r="E80" s="146"/>
      <c r="F80" s="146"/>
      <c r="G80" s="146">
        <v>1</v>
      </c>
      <c r="H80" s="146">
        <v>1</v>
      </c>
      <c r="I80" s="146">
        <v>1</v>
      </c>
      <c r="J80" s="146"/>
      <c r="K80" s="146"/>
      <c r="L80" s="146"/>
      <c r="M80" s="146"/>
      <c r="N80" s="146">
        <v>1</v>
      </c>
      <c r="O80" s="146"/>
      <c r="P80" s="146">
        <v>1</v>
      </c>
      <c r="Q80" s="146"/>
      <c r="R80" s="146"/>
      <c r="S80" s="146"/>
      <c r="T80" s="146"/>
    </row>
    <row r="81" spans="1:20" x14ac:dyDescent="0.3">
      <c r="A81" s="146" t="s">
        <v>167</v>
      </c>
      <c r="B81" s="146" t="s">
        <v>2141</v>
      </c>
      <c r="C81" s="146" t="s">
        <v>2099</v>
      </c>
      <c r="D81" s="146">
        <v>1</v>
      </c>
      <c r="E81" s="146">
        <v>1</v>
      </c>
      <c r="F81" s="146">
        <v>1</v>
      </c>
      <c r="G81" s="146">
        <v>1</v>
      </c>
      <c r="H81" s="146">
        <v>1</v>
      </c>
      <c r="I81" s="146">
        <v>1</v>
      </c>
      <c r="J81" s="146">
        <v>1</v>
      </c>
      <c r="K81" s="146"/>
      <c r="L81" s="146"/>
      <c r="M81" s="146"/>
      <c r="N81" s="146">
        <v>1</v>
      </c>
      <c r="O81" s="146"/>
      <c r="P81" s="146">
        <v>1</v>
      </c>
      <c r="Q81" s="146"/>
      <c r="R81" s="146"/>
      <c r="S81" s="146"/>
      <c r="T81" s="146"/>
    </row>
    <row r="82" spans="1:20" x14ac:dyDescent="0.3">
      <c r="A82" s="146" t="s">
        <v>194</v>
      </c>
      <c r="B82" s="146" t="s">
        <v>1880</v>
      </c>
      <c r="C82" s="146" t="s">
        <v>2099</v>
      </c>
      <c r="D82" s="146">
        <v>1</v>
      </c>
      <c r="E82" s="146"/>
      <c r="F82" s="146"/>
      <c r="G82" s="146">
        <v>1</v>
      </c>
      <c r="H82" s="146">
        <v>1</v>
      </c>
      <c r="I82" s="146">
        <v>1</v>
      </c>
      <c r="J82" s="146">
        <v>1</v>
      </c>
      <c r="K82" s="146"/>
      <c r="L82" s="146"/>
      <c r="M82" s="146"/>
      <c r="N82" s="146">
        <v>1</v>
      </c>
      <c r="O82" s="146"/>
      <c r="P82" s="146">
        <v>1</v>
      </c>
      <c r="Q82" s="146"/>
      <c r="R82" s="146"/>
      <c r="S82" s="146">
        <v>1</v>
      </c>
      <c r="T82" s="146"/>
    </row>
    <row r="83" spans="1:20" x14ac:dyDescent="0.3">
      <c r="A83" s="146" t="s">
        <v>156</v>
      </c>
      <c r="B83" s="146" t="s">
        <v>2142</v>
      </c>
      <c r="C83" s="146" t="s">
        <v>149</v>
      </c>
      <c r="D83" s="146">
        <v>1</v>
      </c>
      <c r="E83" s="146">
        <v>1</v>
      </c>
      <c r="F83" s="146">
        <v>1</v>
      </c>
      <c r="G83" s="146">
        <v>1</v>
      </c>
      <c r="H83" s="146">
        <v>1</v>
      </c>
      <c r="I83" s="146">
        <v>1</v>
      </c>
      <c r="J83" s="146">
        <v>1</v>
      </c>
      <c r="K83" s="146"/>
      <c r="L83" s="146"/>
      <c r="M83" s="146"/>
      <c r="N83" s="146">
        <v>1</v>
      </c>
      <c r="O83" s="146"/>
      <c r="P83" s="146">
        <v>1</v>
      </c>
      <c r="Q83" s="146"/>
      <c r="R83" s="146"/>
      <c r="S83" s="146"/>
      <c r="T83" s="146"/>
    </row>
    <row r="84" spans="1:20" x14ac:dyDescent="0.3">
      <c r="A84" s="146" t="s">
        <v>285</v>
      </c>
      <c r="B84" s="146" t="s">
        <v>501</v>
      </c>
      <c r="C84" s="146" t="s">
        <v>2106</v>
      </c>
      <c r="D84" s="146">
        <v>1</v>
      </c>
      <c r="E84" s="146">
        <v>1</v>
      </c>
      <c r="F84" s="146">
        <v>1</v>
      </c>
      <c r="G84" s="146">
        <v>1</v>
      </c>
      <c r="H84" s="146">
        <v>1</v>
      </c>
      <c r="I84" s="146">
        <v>1</v>
      </c>
      <c r="J84" s="146">
        <v>1</v>
      </c>
      <c r="K84" s="146">
        <v>1</v>
      </c>
      <c r="L84" s="146"/>
      <c r="M84" s="146">
        <v>1</v>
      </c>
      <c r="N84" s="146">
        <v>1</v>
      </c>
      <c r="O84" s="146">
        <v>1</v>
      </c>
      <c r="P84" s="146">
        <v>1</v>
      </c>
      <c r="Q84" s="146">
        <v>1</v>
      </c>
      <c r="R84" s="146"/>
      <c r="S84" s="146"/>
      <c r="T84" s="146"/>
    </row>
    <row r="85" spans="1:20" x14ac:dyDescent="0.3">
      <c r="A85" s="146" t="s">
        <v>193</v>
      </c>
      <c r="B85" s="146" t="s">
        <v>1836</v>
      </c>
      <c r="C85" s="146" t="s">
        <v>2099</v>
      </c>
      <c r="D85" s="146">
        <v>1</v>
      </c>
      <c r="E85" s="146"/>
      <c r="F85" s="146"/>
      <c r="G85" s="146">
        <v>1</v>
      </c>
      <c r="H85" s="146"/>
      <c r="I85" s="146"/>
      <c r="J85" s="146"/>
      <c r="K85" s="146">
        <v>1</v>
      </c>
      <c r="L85" s="146"/>
      <c r="M85" s="146"/>
      <c r="N85" s="146">
        <v>1</v>
      </c>
      <c r="O85" s="146"/>
      <c r="P85" s="146">
        <v>1</v>
      </c>
      <c r="Q85" s="146"/>
      <c r="R85" s="146"/>
      <c r="S85" s="146"/>
      <c r="T85" s="146"/>
    </row>
    <row r="86" spans="1:20" x14ac:dyDescent="0.3">
      <c r="A86" s="146" t="s">
        <v>167</v>
      </c>
      <c r="B86" s="146" t="s">
        <v>2143</v>
      </c>
      <c r="C86" s="146" t="s">
        <v>2099</v>
      </c>
      <c r="D86" s="146">
        <v>1</v>
      </c>
      <c r="E86" s="146"/>
      <c r="F86" s="146"/>
      <c r="G86" s="146">
        <v>1</v>
      </c>
      <c r="H86" s="146"/>
      <c r="I86" s="146"/>
      <c r="J86" s="146"/>
      <c r="K86" s="146"/>
      <c r="L86" s="146"/>
      <c r="M86" s="146"/>
      <c r="N86" s="146">
        <v>1</v>
      </c>
      <c r="O86" s="146"/>
      <c r="P86" s="146">
        <v>1</v>
      </c>
      <c r="Q86" s="146"/>
      <c r="R86" s="146">
        <v>1</v>
      </c>
      <c r="S86" s="146"/>
      <c r="T86" s="146"/>
    </row>
    <row r="87" spans="1:20" x14ac:dyDescent="0.3">
      <c r="A87" s="146" t="s">
        <v>155</v>
      </c>
      <c r="B87" s="146" t="s">
        <v>2144</v>
      </c>
      <c r="C87" s="146" t="s">
        <v>149</v>
      </c>
      <c r="D87" s="146">
        <v>1</v>
      </c>
      <c r="E87" s="146">
        <v>1</v>
      </c>
      <c r="F87" s="146">
        <v>1</v>
      </c>
      <c r="G87" s="146">
        <v>1</v>
      </c>
      <c r="H87" s="146">
        <v>1</v>
      </c>
      <c r="I87" s="146">
        <v>1</v>
      </c>
      <c r="J87" s="146">
        <v>1</v>
      </c>
      <c r="K87" s="146"/>
      <c r="L87" s="146"/>
      <c r="M87" s="146"/>
      <c r="N87" s="146">
        <v>1</v>
      </c>
      <c r="O87" s="146"/>
      <c r="P87" s="146">
        <v>1</v>
      </c>
      <c r="Q87" s="146"/>
      <c r="R87" s="146"/>
      <c r="S87" s="146"/>
      <c r="T87" s="146"/>
    </row>
    <row r="88" spans="1:20" x14ac:dyDescent="0.3">
      <c r="A88" s="146" t="s">
        <v>163</v>
      </c>
      <c r="B88" s="146" t="s">
        <v>2145</v>
      </c>
      <c r="C88" s="146" t="s">
        <v>2099</v>
      </c>
      <c r="D88" s="146">
        <v>1</v>
      </c>
      <c r="E88" s="146">
        <v>1</v>
      </c>
      <c r="F88" s="146"/>
      <c r="G88" s="146">
        <v>1</v>
      </c>
      <c r="H88" s="146">
        <v>1</v>
      </c>
      <c r="I88" s="146">
        <v>1</v>
      </c>
      <c r="J88" s="146">
        <v>1</v>
      </c>
      <c r="K88" s="146"/>
      <c r="L88" s="146"/>
      <c r="M88" s="146"/>
      <c r="N88" s="146">
        <v>1</v>
      </c>
      <c r="O88" s="146"/>
      <c r="P88" s="146">
        <v>1</v>
      </c>
      <c r="Q88" s="146"/>
      <c r="R88" s="146"/>
      <c r="S88" s="146"/>
      <c r="T88" s="146"/>
    </row>
    <row r="89" spans="1:20" x14ac:dyDescent="0.3">
      <c r="A89" s="146" t="s">
        <v>198</v>
      </c>
      <c r="B89" s="146" t="s">
        <v>609</v>
      </c>
      <c r="C89" s="146" t="s">
        <v>2099</v>
      </c>
      <c r="D89" s="146">
        <v>1</v>
      </c>
      <c r="E89" s="146">
        <v>1</v>
      </c>
      <c r="F89" s="146"/>
      <c r="G89" s="146">
        <v>1</v>
      </c>
      <c r="H89" s="146">
        <v>1</v>
      </c>
      <c r="I89" s="146">
        <v>1</v>
      </c>
      <c r="J89" s="146"/>
      <c r="K89" s="146"/>
      <c r="L89" s="146"/>
      <c r="M89" s="146"/>
      <c r="N89" s="146">
        <v>1</v>
      </c>
      <c r="O89" s="146"/>
      <c r="P89" s="146">
        <v>1</v>
      </c>
      <c r="Q89" s="146"/>
      <c r="R89" s="146"/>
      <c r="S89" s="146"/>
      <c r="T89" s="146"/>
    </row>
    <row r="90" spans="1:20" x14ac:dyDescent="0.3">
      <c r="A90" s="146" t="s">
        <v>169</v>
      </c>
      <c r="B90" s="146" t="s">
        <v>894</v>
      </c>
      <c r="C90" s="146" t="s">
        <v>2099</v>
      </c>
      <c r="D90" s="146">
        <v>1</v>
      </c>
      <c r="E90" s="146">
        <v>1</v>
      </c>
      <c r="F90" s="146">
        <v>1</v>
      </c>
      <c r="G90" s="146">
        <v>1</v>
      </c>
      <c r="H90" s="146">
        <v>1</v>
      </c>
      <c r="I90" s="146">
        <v>1</v>
      </c>
      <c r="J90" s="146"/>
      <c r="K90" s="146"/>
      <c r="L90" s="146"/>
      <c r="M90" s="146"/>
      <c r="N90" s="146">
        <v>1</v>
      </c>
      <c r="O90" s="146"/>
      <c r="P90" s="146">
        <v>1</v>
      </c>
      <c r="Q90" s="146"/>
      <c r="R90" s="146"/>
      <c r="S90" s="146"/>
      <c r="T90" s="146"/>
    </row>
    <row r="91" spans="1:20" x14ac:dyDescent="0.3">
      <c r="A91" s="146" t="s">
        <v>169</v>
      </c>
      <c r="B91" s="146" t="s">
        <v>895</v>
      </c>
      <c r="C91" s="146" t="s">
        <v>2099</v>
      </c>
      <c r="D91" s="146">
        <v>1</v>
      </c>
      <c r="E91" s="146">
        <v>1</v>
      </c>
      <c r="F91" s="146">
        <v>1</v>
      </c>
      <c r="G91" s="146">
        <v>1</v>
      </c>
      <c r="H91" s="146">
        <v>1</v>
      </c>
      <c r="I91" s="146">
        <v>1</v>
      </c>
      <c r="J91" s="146">
        <v>1</v>
      </c>
      <c r="K91" s="146"/>
      <c r="L91" s="146"/>
      <c r="M91" s="146"/>
      <c r="N91" s="146">
        <v>1</v>
      </c>
      <c r="O91" s="146"/>
      <c r="P91" s="146">
        <v>1</v>
      </c>
      <c r="Q91" s="146"/>
      <c r="R91" s="146"/>
      <c r="S91" s="146"/>
      <c r="T91" s="146"/>
    </row>
    <row r="92" spans="1:20" x14ac:dyDescent="0.3">
      <c r="A92" s="146" t="s">
        <v>167</v>
      </c>
      <c r="B92" s="146" t="s">
        <v>787</v>
      </c>
      <c r="C92" s="146" t="s">
        <v>2099</v>
      </c>
      <c r="D92" s="146">
        <v>1</v>
      </c>
      <c r="E92" s="146"/>
      <c r="F92" s="146"/>
      <c r="G92" s="146">
        <v>1</v>
      </c>
      <c r="H92" s="146">
        <v>1</v>
      </c>
      <c r="I92" s="146">
        <v>1</v>
      </c>
      <c r="J92" s="146"/>
      <c r="K92" s="146"/>
      <c r="L92" s="146"/>
      <c r="M92" s="146"/>
      <c r="N92" s="146">
        <v>1</v>
      </c>
      <c r="O92" s="146"/>
      <c r="P92" s="146">
        <v>1</v>
      </c>
      <c r="Q92" s="146"/>
      <c r="R92" s="146"/>
      <c r="S92" s="146"/>
      <c r="T92" s="146"/>
    </row>
    <row r="93" spans="1:20" x14ac:dyDescent="0.3">
      <c r="A93" s="146" t="s">
        <v>167</v>
      </c>
      <c r="B93" s="146" t="s">
        <v>2146</v>
      </c>
      <c r="C93" s="146" t="s">
        <v>2099</v>
      </c>
      <c r="D93" s="146">
        <v>1</v>
      </c>
      <c r="E93" s="146">
        <v>1</v>
      </c>
      <c r="F93" s="146"/>
      <c r="G93" s="146">
        <v>1</v>
      </c>
      <c r="H93" s="146">
        <v>1</v>
      </c>
      <c r="I93" s="146">
        <v>1</v>
      </c>
      <c r="J93" s="146"/>
      <c r="K93" s="146"/>
      <c r="L93" s="146"/>
      <c r="M93" s="146"/>
      <c r="N93" s="146">
        <v>1</v>
      </c>
      <c r="O93" s="146"/>
      <c r="P93" s="146">
        <v>1</v>
      </c>
      <c r="Q93" s="146"/>
      <c r="R93" s="146"/>
      <c r="S93" s="146"/>
      <c r="T93" s="146"/>
    </row>
    <row r="94" spans="1:20" x14ac:dyDescent="0.3">
      <c r="A94" s="146" t="s">
        <v>158</v>
      </c>
      <c r="B94" s="146" t="s">
        <v>2147</v>
      </c>
      <c r="C94" s="146" t="s">
        <v>2099</v>
      </c>
      <c r="D94" s="146">
        <v>1</v>
      </c>
      <c r="E94" s="146">
        <v>1</v>
      </c>
      <c r="F94" s="146"/>
      <c r="G94" s="146">
        <v>1</v>
      </c>
      <c r="H94" s="146">
        <v>1</v>
      </c>
      <c r="I94" s="146">
        <v>1</v>
      </c>
      <c r="J94" s="146">
        <v>1</v>
      </c>
      <c r="K94" s="146"/>
      <c r="L94" s="146"/>
      <c r="M94" s="146"/>
      <c r="N94" s="146">
        <v>1</v>
      </c>
      <c r="O94" s="146"/>
      <c r="P94" s="146">
        <v>1</v>
      </c>
      <c r="Q94" s="146"/>
      <c r="R94" s="146"/>
      <c r="S94" s="146"/>
      <c r="T94" s="146"/>
    </row>
    <row r="95" spans="1:20" x14ac:dyDescent="0.3">
      <c r="A95" s="146" t="s">
        <v>178</v>
      </c>
      <c r="B95" s="146" t="s">
        <v>1284</v>
      </c>
      <c r="C95" s="146" t="s">
        <v>2099</v>
      </c>
      <c r="D95" s="146">
        <v>1</v>
      </c>
      <c r="E95" s="146">
        <v>1</v>
      </c>
      <c r="F95" s="146"/>
      <c r="G95" s="146">
        <v>1</v>
      </c>
      <c r="H95" s="146">
        <v>1</v>
      </c>
      <c r="I95" s="146">
        <v>1</v>
      </c>
      <c r="J95" s="146"/>
      <c r="K95" s="146"/>
      <c r="L95" s="146"/>
      <c r="M95" s="146"/>
      <c r="N95" s="146">
        <v>1</v>
      </c>
      <c r="O95" s="146"/>
      <c r="P95" s="146">
        <v>1</v>
      </c>
      <c r="Q95" s="146"/>
      <c r="R95" s="146"/>
      <c r="S95" s="146"/>
      <c r="T95" s="146"/>
    </row>
    <row r="96" spans="1:20" x14ac:dyDescent="0.3">
      <c r="A96" s="146" t="s">
        <v>162</v>
      </c>
      <c r="B96" s="146" t="s">
        <v>2148</v>
      </c>
      <c r="C96" s="146" t="s">
        <v>2102</v>
      </c>
      <c r="D96" s="146">
        <v>1</v>
      </c>
      <c r="E96" s="146">
        <v>1</v>
      </c>
      <c r="F96" s="146"/>
      <c r="G96" s="146">
        <v>1</v>
      </c>
      <c r="H96" s="146">
        <v>1</v>
      </c>
      <c r="I96" s="146">
        <v>1</v>
      </c>
      <c r="J96" s="146"/>
      <c r="K96" s="146"/>
      <c r="L96" s="146"/>
      <c r="M96" s="146"/>
      <c r="N96" s="146">
        <v>1</v>
      </c>
      <c r="O96" s="146"/>
      <c r="P96" s="146">
        <v>1</v>
      </c>
      <c r="Q96" s="146"/>
      <c r="R96" s="146"/>
      <c r="S96" s="146"/>
      <c r="T96" s="146"/>
    </row>
    <row r="97" spans="1:20" x14ac:dyDescent="0.3">
      <c r="A97" s="146" t="s">
        <v>157</v>
      </c>
      <c r="B97" s="146" t="s">
        <v>431</v>
      </c>
      <c r="C97" s="146" t="s">
        <v>2106</v>
      </c>
      <c r="D97" s="146">
        <v>1</v>
      </c>
      <c r="E97" s="146">
        <v>1</v>
      </c>
      <c r="F97" s="146">
        <v>1</v>
      </c>
      <c r="G97" s="146">
        <v>1</v>
      </c>
      <c r="H97" s="146">
        <v>1</v>
      </c>
      <c r="I97" s="146">
        <v>1</v>
      </c>
      <c r="J97" s="146">
        <v>1</v>
      </c>
      <c r="K97" s="146">
        <v>1</v>
      </c>
      <c r="L97" s="146">
        <v>1</v>
      </c>
      <c r="M97" s="146">
        <v>1</v>
      </c>
      <c r="N97" s="146">
        <v>1</v>
      </c>
      <c r="O97" s="146">
        <v>1</v>
      </c>
      <c r="P97" s="146">
        <v>1</v>
      </c>
      <c r="Q97" s="146">
        <v>1</v>
      </c>
      <c r="R97" s="146"/>
      <c r="S97" s="146"/>
      <c r="T97" s="146"/>
    </row>
    <row r="98" spans="1:20" x14ac:dyDescent="0.3">
      <c r="A98" s="146" t="s">
        <v>200</v>
      </c>
      <c r="B98" s="146" t="s">
        <v>2149</v>
      </c>
      <c r="C98" s="146" t="s">
        <v>2102</v>
      </c>
      <c r="D98" s="146">
        <v>1</v>
      </c>
      <c r="E98" s="146"/>
      <c r="F98" s="146"/>
      <c r="G98" s="146">
        <v>1</v>
      </c>
      <c r="H98" s="146"/>
      <c r="I98" s="146"/>
      <c r="J98" s="146"/>
      <c r="K98" s="146"/>
      <c r="L98" s="146"/>
      <c r="M98" s="146"/>
      <c r="N98" s="146">
        <v>1</v>
      </c>
      <c r="O98" s="146"/>
      <c r="P98" s="146">
        <v>1</v>
      </c>
      <c r="Q98" s="146"/>
      <c r="R98" s="146"/>
      <c r="S98" s="146"/>
      <c r="T98" s="146"/>
    </row>
    <row r="99" spans="1:20" x14ac:dyDescent="0.3">
      <c r="A99" s="146" t="s">
        <v>167</v>
      </c>
      <c r="B99" s="146" t="s">
        <v>788</v>
      </c>
      <c r="C99" s="146" t="s">
        <v>2099</v>
      </c>
      <c r="D99" s="146">
        <v>1</v>
      </c>
      <c r="E99" s="146"/>
      <c r="F99" s="146"/>
      <c r="G99" s="146">
        <v>1</v>
      </c>
      <c r="H99" s="146">
        <v>1</v>
      </c>
      <c r="I99" s="146">
        <v>1</v>
      </c>
      <c r="J99" s="146"/>
      <c r="K99" s="146"/>
      <c r="L99" s="146"/>
      <c r="M99" s="146"/>
      <c r="N99" s="146">
        <v>1</v>
      </c>
      <c r="O99" s="146"/>
      <c r="P99" s="146">
        <v>1</v>
      </c>
      <c r="Q99" s="146"/>
      <c r="R99" s="146"/>
      <c r="S99" s="146"/>
      <c r="T99" s="146"/>
    </row>
    <row r="100" spans="1:20" x14ac:dyDescent="0.3">
      <c r="A100" s="146" t="s">
        <v>168</v>
      </c>
      <c r="B100" s="146" t="s">
        <v>823</v>
      </c>
      <c r="C100" s="146" t="s">
        <v>2106</v>
      </c>
      <c r="D100" s="146">
        <v>1</v>
      </c>
      <c r="E100" s="146">
        <v>1</v>
      </c>
      <c r="F100" s="146">
        <v>1</v>
      </c>
      <c r="G100" s="146">
        <v>1</v>
      </c>
      <c r="H100" s="146">
        <v>1</v>
      </c>
      <c r="I100" s="146">
        <v>1</v>
      </c>
      <c r="J100" s="146">
        <v>1</v>
      </c>
      <c r="K100" s="146">
        <v>1</v>
      </c>
      <c r="L100" s="146">
        <v>1</v>
      </c>
      <c r="M100" s="146">
        <v>1</v>
      </c>
      <c r="N100" s="146">
        <v>1</v>
      </c>
      <c r="O100" s="146">
        <v>1</v>
      </c>
      <c r="P100" s="146">
        <v>1</v>
      </c>
      <c r="Q100" s="146">
        <v>1</v>
      </c>
      <c r="R100" s="146"/>
      <c r="S100" s="146">
        <v>1</v>
      </c>
      <c r="T100" s="146"/>
    </row>
    <row r="101" spans="1:20" x14ac:dyDescent="0.3">
      <c r="A101" s="146" t="s">
        <v>165</v>
      </c>
      <c r="B101" s="146" t="s">
        <v>744</v>
      </c>
      <c r="C101" s="146" t="s">
        <v>2099</v>
      </c>
      <c r="D101" s="146">
        <v>1</v>
      </c>
      <c r="E101" s="146">
        <v>1</v>
      </c>
      <c r="F101" s="146"/>
      <c r="G101" s="146">
        <v>1</v>
      </c>
      <c r="H101" s="146">
        <v>1</v>
      </c>
      <c r="I101" s="146">
        <v>1</v>
      </c>
      <c r="J101" s="146"/>
      <c r="K101" s="146"/>
      <c r="L101" s="146">
        <v>1</v>
      </c>
      <c r="M101" s="146"/>
      <c r="N101" s="146">
        <v>1</v>
      </c>
      <c r="O101" s="146"/>
      <c r="P101" s="146">
        <v>1</v>
      </c>
      <c r="Q101" s="146"/>
      <c r="R101" s="146"/>
      <c r="S101" s="146"/>
      <c r="T101" s="146"/>
    </row>
    <row r="102" spans="1:20" x14ac:dyDescent="0.3">
      <c r="A102" s="146" t="s">
        <v>184</v>
      </c>
      <c r="B102" s="146" t="s">
        <v>1598</v>
      </c>
      <c r="C102" s="146" t="s">
        <v>2106</v>
      </c>
      <c r="D102" s="146">
        <v>1</v>
      </c>
      <c r="E102" s="146">
        <v>1</v>
      </c>
      <c r="F102" s="146">
        <v>1</v>
      </c>
      <c r="G102" s="146">
        <v>1</v>
      </c>
      <c r="H102" s="146">
        <v>1</v>
      </c>
      <c r="I102" s="146">
        <v>1</v>
      </c>
      <c r="J102" s="146">
        <v>1</v>
      </c>
      <c r="K102" s="146"/>
      <c r="L102" s="146">
        <v>1</v>
      </c>
      <c r="M102" s="146">
        <v>1</v>
      </c>
      <c r="N102" s="146">
        <v>1</v>
      </c>
      <c r="O102" s="146">
        <v>1</v>
      </c>
      <c r="P102" s="146">
        <v>1</v>
      </c>
      <c r="Q102" s="146"/>
      <c r="R102" s="146"/>
      <c r="S102" s="146"/>
      <c r="T102" s="146"/>
    </row>
    <row r="103" spans="1:20" x14ac:dyDescent="0.3">
      <c r="A103" s="146" t="s">
        <v>199</v>
      </c>
      <c r="B103" s="146" t="s">
        <v>1406</v>
      </c>
      <c r="C103" s="146" t="s">
        <v>149</v>
      </c>
      <c r="D103" s="146">
        <v>1</v>
      </c>
      <c r="E103" s="146">
        <v>1</v>
      </c>
      <c r="F103" s="146">
        <v>1</v>
      </c>
      <c r="G103" s="146">
        <v>1</v>
      </c>
      <c r="H103" s="146">
        <v>1</v>
      </c>
      <c r="I103" s="146">
        <v>1</v>
      </c>
      <c r="J103" s="146">
        <v>1</v>
      </c>
      <c r="K103" s="146">
        <v>1</v>
      </c>
      <c r="L103" s="146"/>
      <c r="M103" s="146"/>
      <c r="N103" s="146">
        <v>1</v>
      </c>
      <c r="O103" s="146">
        <v>1</v>
      </c>
      <c r="P103" s="146">
        <v>1</v>
      </c>
      <c r="Q103" s="146">
        <v>1</v>
      </c>
      <c r="R103" s="146"/>
      <c r="S103" s="146">
        <v>1</v>
      </c>
      <c r="T103" s="146"/>
    </row>
    <row r="104" spans="1:20" x14ac:dyDescent="0.3">
      <c r="A104" s="146" t="s">
        <v>166</v>
      </c>
      <c r="B104" s="146" t="s">
        <v>2150</v>
      </c>
      <c r="C104" s="146" t="s">
        <v>2102</v>
      </c>
      <c r="D104" s="146">
        <v>1</v>
      </c>
      <c r="E104" s="146"/>
      <c r="F104" s="146"/>
      <c r="G104" s="146">
        <v>1</v>
      </c>
      <c r="H104" s="146"/>
      <c r="I104" s="146"/>
      <c r="J104" s="146"/>
      <c r="K104" s="146"/>
      <c r="L104" s="146"/>
      <c r="M104" s="146"/>
      <c r="N104" s="146">
        <v>1</v>
      </c>
      <c r="O104" s="146"/>
      <c r="P104" s="146">
        <v>1</v>
      </c>
      <c r="Q104" s="146"/>
      <c r="R104" s="146"/>
      <c r="S104" s="146"/>
      <c r="T104" s="146"/>
    </row>
    <row r="105" spans="1:20" x14ac:dyDescent="0.3">
      <c r="A105" s="146" t="s">
        <v>153</v>
      </c>
      <c r="B105" s="146" t="s">
        <v>294</v>
      </c>
      <c r="C105" s="146" t="s">
        <v>2099</v>
      </c>
      <c r="D105" s="146">
        <v>1</v>
      </c>
      <c r="E105" s="146">
        <v>1</v>
      </c>
      <c r="F105" s="146"/>
      <c r="G105" s="146">
        <v>1</v>
      </c>
      <c r="H105" s="146">
        <v>1</v>
      </c>
      <c r="I105" s="146">
        <v>1</v>
      </c>
      <c r="J105" s="146">
        <v>1</v>
      </c>
      <c r="K105" s="146"/>
      <c r="L105" s="146"/>
      <c r="M105" s="146"/>
      <c r="N105" s="146">
        <v>1</v>
      </c>
      <c r="O105" s="146"/>
      <c r="P105" s="146">
        <v>1</v>
      </c>
      <c r="Q105" s="146"/>
      <c r="R105" s="146"/>
      <c r="S105" s="146"/>
      <c r="T105" s="146"/>
    </row>
    <row r="106" spans="1:20" x14ac:dyDescent="0.3">
      <c r="A106" s="146" t="s">
        <v>180</v>
      </c>
      <c r="B106" s="146" t="s">
        <v>1429</v>
      </c>
      <c r="C106" s="146" t="s">
        <v>2099</v>
      </c>
      <c r="D106" s="146">
        <v>1</v>
      </c>
      <c r="E106" s="146"/>
      <c r="F106" s="146"/>
      <c r="G106" s="146">
        <v>1</v>
      </c>
      <c r="H106" s="146"/>
      <c r="I106" s="146"/>
      <c r="J106" s="146"/>
      <c r="K106" s="146"/>
      <c r="L106" s="146"/>
      <c r="M106" s="146"/>
      <c r="N106" s="146">
        <v>1</v>
      </c>
      <c r="O106" s="146"/>
      <c r="P106" s="146">
        <v>1</v>
      </c>
      <c r="Q106" s="146"/>
      <c r="R106" s="146"/>
      <c r="S106" s="146"/>
      <c r="T106" s="146"/>
    </row>
    <row r="107" spans="1:20" x14ac:dyDescent="0.3">
      <c r="A107" s="146" t="s">
        <v>164</v>
      </c>
      <c r="B107" s="146" t="s">
        <v>2151</v>
      </c>
      <c r="C107" s="146" t="s">
        <v>2102</v>
      </c>
      <c r="D107" s="146">
        <v>1</v>
      </c>
      <c r="E107" s="146"/>
      <c r="F107" s="146"/>
      <c r="G107" s="146">
        <v>1</v>
      </c>
      <c r="H107" s="146">
        <v>1</v>
      </c>
      <c r="I107" s="146">
        <v>1</v>
      </c>
      <c r="J107" s="146"/>
      <c r="K107" s="146"/>
      <c r="L107" s="146"/>
      <c r="M107" s="146"/>
      <c r="N107" s="146">
        <v>1</v>
      </c>
      <c r="O107" s="146"/>
      <c r="P107" s="146">
        <v>1</v>
      </c>
      <c r="Q107" s="146"/>
      <c r="R107" s="146"/>
      <c r="S107" s="146"/>
      <c r="T107" s="146"/>
    </row>
    <row r="108" spans="1:20" x14ac:dyDescent="0.3">
      <c r="A108" s="146" t="s">
        <v>181</v>
      </c>
      <c r="B108" s="146" t="s">
        <v>1501</v>
      </c>
      <c r="C108" s="146" t="s">
        <v>2099</v>
      </c>
      <c r="D108" s="146">
        <v>1</v>
      </c>
      <c r="E108" s="146">
        <v>1</v>
      </c>
      <c r="F108" s="146"/>
      <c r="G108" s="146">
        <v>1</v>
      </c>
      <c r="H108" s="146">
        <v>1</v>
      </c>
      <c r="I108" s="146">
        <v>1</v>
      </c>
      <c r="J108" s="146"/>
      <c r="K108" s="146"/>
      <c r="L108" s="146"/>
      <c r="M108" s="146"/>
      <c r="N108" s="146">
        <v>1</v>
      </c>
      <c r="O108" s="146"/>
      <c r="P108" s="146">
        <v>1</v>
      </c>
      <c r="Q108" s="146"/>
      <c r="R108" s="146"/>
      <c r="S108" s="146"/>
      <c r="T108" s="146"/>
    </row>
    <row r="109" spans="1:20" x14ac:dyDescent="0.3">
      <c r="A109" s="146" t="s">
        <v>285</v>
      </c>
      <c r="B109" s="146" t="s">
        <v>1977</v>
      </c>
      <c r="C109" s="146" t="s">
        <v>2099</v>
      </c>
      <c r="D109" s="146">
        <v>1</v>
      </c>
      <c r="E109" s="146">
        <v>1</v>
      </c>
      <c r="F109" s="146"/>
      <c r="G109" s="146">
        <v>1</v>
      </c>
      <c r="H109" s="146">
        <v>1</v>
      </c>
      <c r="I109" s="146">
        <v>1</v>
      </c>
      <c r="J109" s="146">
        <v>1</v>
      </c>
      <c r="K109" s="146"/>
      <c r="L109" s="146"/>
      <c r="M109" s="146"/>
      <c r="N109" s="146">
        <v>1</v>
      </c>
      <c r="O109" s="146"/>
      <c r="P109" s="146">
        <v>1</v>
      </c>
      <c r="Q109" s="146"/>
      <c r="R109" s="146"/>
      <c r="S109" s="146"/>
      <c r="T109" s="146"/>
    </row>
    <row r="110" spans="1:20" x14ac:dyDescent="0.3">
      <c r="A110" s="146" t="s">
        <v>155</v>
      </c>
      <c r="B110" s="146" t="s">
        <v>2152</v>
      </c>
      <c r="C110" s="146" t="s">
        <v>2102</v>
      </c>
      <c r="D110" s="146">
        <v>1</v>
      </c>
      <c r="E110" s="146"/>
      <c r="F110" s="146"/>
      <c r="G110" s="146">
        <v>1</v>
      </c>
      <c r="H110" s="146"/>
      <c r="I110" s="146">
        <v>1</v>
      </c>
      <c r="J110" s="146"/>
      <c r="K110" s="146"/>
      <c r="L110" s="146"/>
      <c r="M110" s="146"/>
      <c r="N110" s="146">
        <v>1</v>
      </c>
      <c r="O110" s="146"/>
      <c r="P110" s="146">
        <v>1</v>
      </c>
      <c r="Q110" s="146"/>
      <c r="R110" s="146">
        <v>1</v>
      </c>
      <c r="S110" s="146"/>
      <c r="T110" s="146"/>
    </row>
    <row r="111" spans="1:20" x14ac:dyDescent="0.3">
      <c r="A111" s="146" t="s">
        <v>166</v>
      </c>
      <c r="B111" s="146" t="s">
        <v>2153</v>
      </c>
      <c r="C111" s="146" t="s">
        <v>2102</v>
      </c>
      <c r="D111" s="146">
        <v>1</v>
      </c>
      <c r="E111" s="146"/>
      <c r="F111" s="146"/>
      <c r="G111" s="146">
        <v>1</v>
      </c>
      <c r="H111" s="146"/>
      <c r="I111" s="146"/>
      <c r="J111" s="146"/>
      <c r="K111" s="146"/>
      <c r="L111" s="146"/>
      <c r="M111" s="146"/>
      <c r="N111" s="146">
        <v>1</v>
      </c>
      <c r="O111" s="146"/>
      <c r="P111" s="146">
        <v>1</v>
      </c>
      <c r="Q111" s="146"/>
      <c r="R111" s="146"/>
      <c r="S111" s="146"/>
      <c r="T111" s="146"/>
    </row>
    <row r="112" spans="1:20" x14ac:dyDescent="0.3">
      <c r="A112" s="146" t="s">
        <v>158</v>
      </c>
      <c r="B112" s="146" t="s">
        <v>2154</v>
      </c>
      <c r="C112" s="146" t="s">
        <v>2102</v>
      </c>
      <c r="D112" s="146">
        <v>1</v>
      </c>
      <c r="E112" s="146"/>
      <c r="F112" s="146"/>
      <c r="G112" s="146">
        <v>1</v>
      </c>
      <c r="H112" s="146"/>
      <c r="I112" s="146"/>
      <c r="J112" s="146"/>
      <c r="K112" s="146"/>
      <c r="L112" s="146"/>
      <c r="M112" s="146"/>
      <c r="N112" s="146">
        <v>1</v>
      </c>
      <c r="O112" s="146"/>
      <c r="P112" s="146">
        <v>1</v>
      </c>
      <c r="Q112" s="146"/>
      <c r="R112" s="146"/>
      <c r="S112" s="146"/>
      <c r="T112" s="146"/>
    </row>
    <row r="113" spans="1:20" x14ac:dyDescent="0.3">
      <c r="A113" s="146" t="s">
        <v>162</v>
      </c>
      <c r="B113" s="146" t="s">
        <v>204</v>
      </c>
      <c r="C113" s="146" t="s">
        <v>2106</v>
      </c>
      <c r="D113" s="146">
        <v>1</v>
      </c>
      <c r="E113" s="146">
        <v>1</v>
      </c>
      <c r="F113" s="146">
        <v>1</v>
      </c>
      <c r="G113" s="146">
        <v>1</v>
      </c>
      <c r="H113" s="146">
        <v>1</v>
      </c>
      <c r="I113" s="146">
        <v>1</v>
      </c>
      <c r="J113" s="146">
        <v>1</v>
      </c>
      <c r="K113" s="146"/>
      <c r="L113" s="146">
        <v>1</v>
      </c>
      <c r="M113" s="146">
        <v>1</v>
      </c>
      <c r="N113" s="146">
        <v>1</v>
      </c>
      <c r="O113" s="146">
        <v>1</v>
      </c>
      <c r="P113" s="146">
        <v>1</v>
      </c>
      <c r="Q113" s="146"/>
      <c r="R113" s="146"/>
      <c r="S113" s="146"/>
      <c r="T113" s="146"/>
    </row>
    <row r="114" spans="1:20" x14ac:dyDescent="0.3">
      <c r="A114" s="146" t="s">
        <v>198</v>
      </c>
      <c r="B114" s="146" t="s">
        <v>611</v>
      </c>
      <c r="C114" s="146" t="s">
        <v>2106</v>
      </c>
      <c r="D114" s="146">
        <v>1</v>
      </c>
      <c r="E114" s="146">
        <v>1</v>
      </c>
      <c r="F114" s="146">
        <v>1</v>
      </c>
      <c r="G114" s="146">
        <v>1</v>
      </c>
      <c r="H114" s="146">
        <v>1</v>
      </c>
      <c r="I114" s="146">
        <v>1</v>
      </c>
      <c r="J114" s="146">
        <v>1</v>
      </c>
      <c r="K114" s="146">
        <v>1</v>
      </c>
      <c r="L114" s="146">
        <v>1</v>
      </c>
      <c r="M114" s="146">
        <v>1</v>
      </c>
      <c r="N114" s="146">
        <v>1</v>
      </c>
      <c r="O114" s="146">
        <v>1</v>
      </c>
      <c r="P114" s="146">
        <v>1</v>
      </c>
      <c r="Q114" s="146"/>
      <c r="R114" s="146"/>
      <c r="S114" s="146"/>
      <c r="T114" s="146"/>
    </row>
    <row r="115" spans="1:20" x14ac:dyDescent="0.3">
      <c r="A115" s="146" t="s">
        <v>173</v>
      </c>
      <c r="B115" s="146" t="s">
        <v>1039</v>
      </c>
      <c r="C115" s="146" t="s">
        <v>2099</v>
      </c>
      <c r="D115" s="146">
        <v>1</v>
      </c>
      <c r="E115" s="146"/>
      <c r="F115" s="146"/>
      <c r="G115" s="146">
        <v>1</v>
      </c>
      <c r="H115" s="146"/>
      <c r="I115" s="146"/>
      <c r="J115" s="146"/>
      <c r="K115" s="146"/>
      <c r="L115" s="146"/>
      <c r="M115" s="146"/>
      <c r="N115" s="146">
        <v>1</v>
      </c>
      <c r="O115" s="146"/>
      <c r="P115" s="146">
        <v>1</v>
      </c>
      <c r="Q115" s="146"/>
      <c r="R115" s="146"/>
      <c r="S115" s="146"/>
      <c r="T115" s="146"/>
    </row>
    <row r="116" spans="1:20" x14ac:dyDescent="0.3">
      <c r="A116" s="146" t="s">
        <v>174</v>
      </c>
      <c r="B116" s="146" t="s">
        <v>1103</v>
      </c>
      <c r="C116" s="146" t="s">
        <v>2099</v>
      </c>
      <c r="D116" s="146">
        <v>1</v>
      </c>
      <c r="E116" s="146"/>
      <c r="F116" s="146"/>
      <c r="G116" s="146">
        <v>1</v>
      </c>
      <c r="H116" s="146">
        <v>1</v>
      </c>
      <c r="I116" s="146">
        <v>1</v>
      </c>
      <c r="J116" s="146">
        <v>1</v>
      </c>
      <c r="K116" s="146"/>
      <c r="L116" s="146"/>
      <c r="M116" s="146"/>
      <c r="N116" s="146">
        <v>1</v>
      </c>
      <c r="O116" s="146"/>
      <c r="P116" s="146">
        <v>1</v>
      </c>
      <c r="Q116" s="146"/>
      <c r="R116" s="146"/>
      <c r="S116" s="146"/>
      <c r="T116" s="146"/>
    </row>
    <row r="117" spans="1:20" x14ac:dyDescent="0.3">
      <c r="A117" s="146" t="s">
        <v>174</v>
      </c>
      <c r="B117" s="146" t="s">
        <v>2155</v>
      </c>
      <c r="C117" s="146" t="s">
        <v>2099</v>
      </c>
      <c r="D117" s="146">
        <v>1</v>
      </c>
      <c r="E117" s="146"/>
      <c r="F117" s="146">
        <v>1</v>
      </c>
      <c r="G117" s="146">
        <v>1</v>
      </c>
      <c r="H117" s="146"/>
      <c r="I117" s="146"/>
      <c r="J117" s="146">
        <v>1</v>
      </c>
      <c r="K117" s="146"/>
      <c r="L117" s="146">
        <v>1</v>
      </c>
      <c r="M117" s="146"/>
      <c r="N117" s="146">
        <v>1</v>
      </c>
      <c r="O117" s="146"/>
      <c r="P117" s="146">
        <v>1</v>
      </c>
      <c r="Q117" s="146"/>
      <c r="R117" s="146"/>
      <c r="S117" s="146"/>
      <c r="T117" s="146"/>
    </row>
    <row r="118" spans="1:20" x14ac:dyDescent="0.3">
      <c r="A118" s="146" t="s">
        <v>157</v>
      </c>
      <c r="B118" s="146" t="s">
        <v>433</v>
      </c>
      <c r="C118" s="146" t="s">
        <v>2099</v>
      </c>
      <c r="D118" s="146">
        <v>1</v>
      </c>
      <c r="E118" s="146">
        <v>1</v>
      </c>
      <c r="F118" s="146">
        <v>1</v>
      </c>
      <c r="G118" s="146">
        <v>1</v>
      </c>
      <c r="H118" s="146">
        <v>1</v>
      </c>
      <c r="I118" s="146">
        <v>1</v>
      </c>
      <c r="J118" s="146"/>
      <c r="K118" s="146"/>
      <c r="L118" s="146"/>
      <c r="M118" s="146"/>
      <c r="N118" s="146">
        <v>1</v>
      </c>
      <c r="O118" s="146"/>
      <c r="P118" s="146">
        <v>1</v>
      </c>
      <c r="Q118" s="146"/>
      <c r="R118" s="146"/>
      <c r="S118" s="146"/>
      <c r="T118" s="146"/>
    </row>
    <row r="119" spans="1:20" x14ac:dyDescent="0.3">
      <c r="A119" s="146" t="s">
        <v>200</v>
      </c>
      <c r="B119" s="146" t="s">
        <v>2156</v>
      </c>
      <c r="C119" s="146" t="s">
        <v>2099</v>
      </c>
      <c r="D119" s="146">
        <v>1</v>
      </c>
      <c r="E119" s="146">
        <v>1</v>
      </c>
      <c r="F119" s="146"/>
      <c r="G119" s="146">
        <v>1</v>
      </c>
      <c r="H119" s="146">
        <v>1</v>
      </c>
      <c r="I119" s="146">
        <v>1</v>
      </c>
      <c r="J119" s="146">
        <v>1</v>
      </c>
      <c r="K119" s="146"/>
      <c r="L119" s="146">
        <v>1</v>
      </c>
      <c r="M119" s="146"/>
      <c r="N119" s="146">
        <v>1</v>
      </c>
      <c r="O119" s="146"/>
      <c r="P119" s="146">
        <v>1</v>
      </c>
      <c r="Q119" s="146"/>
      <c r="R119" s="146"/>
      <c r="S119" s="146"/>
      <c r="T119" s="146"/>
    </row>
    <row r="120" spans="1:20" x14ac:dyDescent="0.3">
      <c r="A120" s="146" t="s">
        <v>285</v>
      </c>
      <c r="B120" s="146" t="s">
        <v>1978</v>
      </c>
      <c r="C120" s="146" t="s">
        <v>2099</v>
      </c>
      <c r="D120" s="146">
        <v>1</v>
      </c>
      <c r="E120" s="146">
        <v>1</v>
      </c>
      <c r="F120" s="146"/>
      <c r="G120" s="146">
        <v>1</v>
      </c>
      <c r="H120" s="146">
        <v>1</v>
      </c>
      <c r="I120" s="146">
        <v>1</v>
      </c>
      <c r="J120" s="146"/>
      <c r="K120" s="146"/>
      <c r="L120" s="146"/>
      <c r="M120" s="146"/>
      <c r="N120" s="146">
        <v>1</v>
      </c>
      <c r="O120" s="146"/>
      <c r="P120" s="146">
        <v>1</v>
      </c>
      <c r="Q120" s="146"/>
      <c r="R120" s="146"/>
      <c r="S120" s="146"/>
      <c r="T120" s="146"/>
    </row>
    <row r="121" spans="1:20" x14ac:dyDescent="0.3">
      <c r="A121" s="146" t="s">
        <v>200</v>
      </c>
      <c r="B121" s="146" t="s">
        <v>1360</v>
      </c>
      <c r="C121" s="146" t="s">
        <v>2099</v>
      </c>
      <c r="D121" s="146">
        <v>1</v>
      </c>
      <c r="E121" s="146"/>
      <c r="F121" s="146"/>
      <c r="G121" s="146">
        <v>1</v>
      </c>
      <c r="H121" s="146"/>
      <c r="I121" s="146"/>
      <c r="J121" s="146">
        <v>1</v>
      </c>
      <c r="K121" s="146"/>
      <c r="L121" s="146"/>
      <c r="M121" s="146"/>
      <c r="N121" s="146">
        <v>1</v>
      </c>
      <c r="O121" s="146"/>
      <c r="P121" s="146">
        <v>1</v>
      </c>
      <c r="Q121" s="146"/>
      <c r="R121" s="146">
        <v>1</v>
      </c>
      <c r="S121" s="146"/>
      <c r="T121" s="146"/>
    </row>
    <row r="122" spans="1:20" x14ac:dyDescent="0.3">
      <c r="A122" s="146" t="s">
        <v>177</v>
      </c>
      <c r="B122" s="146" t="s">
        <v>1222</v>
      </c>
      <c r="C122" s="146" t="s">
        <v>2099</v>
      </c>
      <c r="D122" s="146">
        <v>1</v>
      </c>
      <c r="E122" s="146">
        <v>1</v>
      </c>
      <c r="F122" s="146"/>
      <c r="G122" s="146">
        <v>1</v>
      </c>
      <c r="H122" s="146">
        <v>1</v>
      </c>
      <c r="I122" s="146"/>
      <c r="J122" s="146"/>
      <c r="K122" s="146"/>
      <c r="L122" s="146"/>
      <c r="M122" s="146"/>
      <c r="N122" s="146">
        <v>1</v>
      </c>
      <c r="O122" s="146"/>
      <c r="P122" s="146">
        <v>1</v>
      </c>
      <c r="Q122" s="146"/>
      <c r="R122" s="146"/>
      <c r="S122" s="146"/>
      <c r="T122" s="146"/>
    </row>
    <row r="123" spans="1:20" x14ac:dyDescent="0.3">
      <c r="A123" s="146" t="s">
        <v>173</v>
      </c>
      <c r="B123" s="146" t="s">
        <v>2157</v>
      </c>
      <c r="C123" s="146" t="s">
        <v>2099</v>
      </c>
      <c r="D123" s="146">
        <v>1</v>
      </c>
      <c r="E123" s="146">
        <v>1</v>
      </c>
      <c r="F123" s="146">
        <v>1</v>
      </c>
      <c r="G123" s="146">
        <v>1</v>
      </c>
      <c r="H123" s="146">
        <v>1</v>
      </c>
      <c r="I123" s="146">
        <v>1</v>
      </c>
      <c r="J123" s="146">
        <v>1</v>
      </c>
      <c r="K123" s="146">
        <v>1</v>
      </c>
      <c r="L123" s="146"/>
      <c r="M123" s="146"/>
      <c r="N123" s="146">
        <v>1</v>
      </c>
      <c r="O123" s="146">
        <v>1</v>
      </c>
      <c r="P123" s="146">
        <v>1</v>
      </c>
      <c r="Q123" s="146"/>
      <c r="R123" s="146"/>
      <c r="S123" s="146"/>
      <c r="T123" s="146"/>
    </row>
    <row r="124" spans="1:20" x14ac:dyDescent="0.3">
      <c r="A124" s="146" t="s">
        <v>177</v>
      </c>
      <c r="B124" s="146" t="s">
        <v>1223</v>
      </c>
      <c r="C124" s="146" t="s">
        <v>2099</v>
      </c>
      <c r="D124" s="146">
        <v>1</v>
      </c>
      <c r="E124" s="146">
        <v>1</v>
      </c>
      <c r="F124" s="146">
        <v>1</v>
      </c>
      <c r="G124" s="146">
        <v>1</v>
      </c>
      <c r="H124" s="146">
        <v>1</v>
      </c>
      <c r="I124" s="146">
        <v>1</v>
      </c>
      <c r="J124" s="146">
        <v>1</v>
      </c>
      <c r="K124" s="146"/>
      <c r="L124" s="146"/>
      <c r="M124" s="146"/>
      <c r="N124" s="146">
        <v>1</v>
      </c>
      <c r="O124" s="146"/>
      <c r="P124" s="146">
        <v>1</v>
      </c>
      <c r="Q124" s="146"/>
      <c r="R124" s="146"/>
      <c r="S124" s="146"/>
      <c r="T124" s="146"/>
    </row>
    <row r="125" spans="1:20" x14ac:dyDescent="0.3">
      <c r="A125" s="146" t="s">
        <v>169</v>
      </c>
      <c r="B125" s="146" t="s">
        <v>896</v>
      </c>
      <c r="C125" s="146" t="s">
        <v>2099</v>
      </c>
      <c r="D125" s="146">
        <v>1</v>
      </c>
      <c r="E125" s="146">
        <v>1</v>
      </c>
      <c r="F125" s="146">
        <v>1</v>
      </c>
      <c r="G125" s="146">
        <v>1</v>
      </c>
      <c r="H125" s="146">
        <v>1</v>
      </c>
      <c r="I125" s="146">
        <v>1</v>
      </c>
      <c r="J125" s="146"/>
      <c r="K125" s="146"/>
      <c r="L125" s="146"/>
      <c r="M125" s="146"/>
      <c r="N125" s="146">
        <v>1</v>
      </c>
      <c r="O125" s="146"/>
      <c r="P125" s="146">
        <v>1</v>
      </c>
      <c r="Q125" s="146"/>
      <c r="R125" s="146"/>
      <c r="S125" s="146"/>
      <c r="T125" s="146"/>
    </row>
    <row r="126" spans="1:20" x14ac:dyDescent="0.3">
      <c r="A126" s="146" t="s">
        <v>157</v>
      </c>
      <c r="B126" s="146" t="s">
        <v>2158</v>
      </c>
      <c r="C126" s="146" t="s">
        <v>2102</v>
      </c>
      <c r="D126" s="146">
        <v>1</v>
      </c>
      <c r="E126" s="146">
        <v>1</v>
      </c>
      <c r="F126" s="146"/>
      <c r="G126" s="146">
        <v>1</v>
      </c>
      <c r="H126" s="146">
        <v>1</v>
      </c>
      <c r="I126" s="146">
        <v>1</v>
      </c>
      <c r="J126" s="146"/>
      <c r="K126" s="146"/>
      <c r="L126" s="146"/>
      <c r="M126" s="146"/>
      <c r="N126" s="146">
        <v>1</v>
      </c>
      <c r="O126" s="146"/>
      <c r="P126" s="146">
        <v>1</v>
      </c>
      <c r="Q126" s="146"/>
      <c r="R126" s="146"/>
      <c r="S126" s="146"/>
      <c r="T126" s="146"/>
    </row>
    <row r="127" spans="1:20" x14ac:dyDescent="0.3">
      <c r="A127" s="146" t="s">
        <v>181</v>
      </c>
      <c r="B127" s="146" t="s">
        <v>2159</v>
      </c>
      <c r="C127" s="146" t="s">
        <v>2102</v>
      </c>
      <c r="D127" s="146">
        <v>1</v>
      </c>
      <c r="E127" s="146"/>
      <c r="F127" s="146"/>
      <c r="G127" s="146">
        <v>1</v>
      </c>
      <c r="H127" s="146"/>
      <c r="I127" s="146"/>
      <c r="J127" s="146"/>
      <c r="K127" s="146"/>
      <c r="L127" s="146"/>
      <c r="M127" s="146"/>
      <c r="N127" s="146">
        <v>1</v>
      </c>
      <c r="O127" s="146"/>
      <c r="P127" s="146">
        <v>1</v>
      </c>
      <c r="Q127" s="146"/>
      <c r="R127" s="146"/>
      <c r="S127" s="146"/>
      <c r="T127" s="146"/>
    </row>
    <row r="128" spans="1:20" x14ac:dyDescent="0.3">
      <c r="A128" s="146" t="s">
        <v>164</v>
      </c>
      <c r="B128" s="146" t="s">
        <v>664</v>
      </c>
      <c r="C128" s="146" t="s">
        <v>2099</v>
      </c>
      <c r="D128" s="146">
        <v>1</v>
      </c>
      <c r="E128" s="146">
        <v>1</v>
      </c>
      <c r="F128" s="146">
        <v>1</v>
      </c>
      <c r="G128" s="146">
        <v>1</v>
      </c>
      <c r="H128" s="146">
        <v>1</v>
      </c>
      <c r="I128" s="146">
        <v>1</v>
      </c>
      <c r="J128" s="146">
        <v>1</v>
      </c>
      <c r="K128" s="146">
        <v>1</v>
      </c>
      <c r="L128" s="146">
        <v>1</v>
      </c>
      <c r="M128" s="146"/>
      <c r="N128" s="146">
        <v>1</v>
      </c>
      <c r="O128" s="146">
        <v>1</v>
      </c>
      <c r="P128" s="146">
        <v>1</v>
      </c>
      <c r="Q128" s="146"/>
      <c r="R128" s="146"/>
      <c r="S128" s="146"/>
      <c r="T128" s="146"/>
    </row>
    <row r="129" spans="1:20" x14ac:dyDescent="0.3">
      <c r="A129" s="146" t="s">
        <v>154</v>
      </c>
      <c r="B129" s="146" t="s">
        <v>326</v>
      </c>
      <c r="C129" s="146" t="s">
        <v>2099</v>
      </c>
      <c r="D129" s="146">
        <v>1</v>
      </c>
      <c r="E129" s="146"/>
      <c r="F129" s="146"/>
      <c r="G129" s="146">
        <v>1</v>
      </c>
      <c r="H129" s="146"/>
      <c r="I129" s="146"/>
      <c r="J129" s="146"/>
      <c r="K129" s="146"/>
      <c r="L129" s="146"/>
      <c r="M129" s="146"/>
      <c r="N129" s="146">
        <v>1</v>
      </c>
      <c r="O129" s="146"/>
      <c r="P129" s="146">
        <v>1</v>
      </c>
      <c r="Q129" s="146"/>
      <c r="R129" s="146"/>
      <c r="S129" s="146"/>
      <c r="T129" s="146"/>
    </row>
    <row r="130" spans="1:20" x14ac:dyDescent="0.3">
      <c r="A130" s="146" t="s">
        <v>154</v>
      </c>
      <c r="B130" s="146" t="s">
        <v>2160</v>
      </c>
      <c r="C130" s="146" t="s">
        <v>149</v>
      </c>
      <c r="D130" s="146">
        <v>1</v>
      </c>
      <c r="E130" s="146">
        <v>1</v>
      </c>
      <c r="F130" s="146">
        <v>1</v>
      </c>
      <c r="G130" s="146">
        <v>1</v>
      </c>
      <c r="H130" s="146">
        <v>1</v>
      </c>
      <c r="I130" s="146">
        <v>1</v>
      </c>
      <c r="J130" s="146">
        <v>1</v>
      </c>
      <c r="K130" s="146">
        <v>1</v>
      </c>
      <c r="L130" s="146"/>
      <c r="M130" s="146"/>
      <c r="N130" s="146">
        <v>1</v>
      </c>
      <c r="O130" s="146"/>
      <c r="P130" s="146">
        <v>1</v>
      </c>
      <c r="Q130" s="146"/>
      <c r="R130" s="146"/>
      <c r="S130" s="146"/>
      <c r="T130" s="146"/>
    </row>
    <row r="131" spans="1:20" x14ac:dyDescent="0.3">
      <c r="A131" s="146" t="s">
        <v>181</v>
      </c>
      <c r="B131" s="146" t="s">
        <v>1508</v>
      </c>
      <c r="C131" s="146" t="s">
        <v>2106</v>
      </c>
      <c r="D131" s="146">
        <v>1</v>
      </c>
      <c r="E131" s="146">
        <v>1</v>
      </c>
      <c r="F131" s="146">
        <v>1</v>
      </c>
      <c r="G131" s="146">
        <v>1</v>
      </c>
      <c r="H131" s="146">
        <v>1</v>
      </c>
      <c r="I131" s="146">
        <v>1</v>
      </c>
      <c r="J131" s="146">
        <v>1</v>
      </c>
      <c r="K131" s="146">
        <v>1</v>
      </c>
      <c r="L131" s="146"/>
      <c r="M131" s="146">
        <v>1</v>
      </c>
      <c r="N131" s="146">
        <v>1</v>
      </c>
      <c r="O131" s="146">
        <v>1</v>
      </c>
      <c r="P131" s="146">
        <v>1</v>
      </c>
      <c r="Q131" s="146"/>
      <c r="R131" s="146"/>
      <c r="S131" s="146"/>
      <c r="T131" s="146"/>
    </row>
    <row r="132" spans="1:20" x14ac:dyDescent="0.3">
      <c r="A132" s="146" t="s">
        <v>191</v>
      </c>
      <c r="B132" s="146" t="s">
        <v>1775</v>
      </c>
      <c r="C132" s="146" t="s">
        <v>2099</v>
      </c>
      <c r="D132" s="146">
        <v>1</v>
      </c>
      <c r="E132" s="146">
        <v>1</v>
      </c>
      <c r="F132" s="146"/>
      <c r="G132" s="146">
        <v>1</v>
      </c>
      <c r="H132" s="146">
        <v>1</v>
      </c>
      <c r="I132" s="146">
        <v>1</v>
      </c>
      <c r="J132" s="146"/>
      <c r="K132" s="146"/>
      <c r="L132" s="146"/>
      <c r="M132" s="146"/>
      <c r="N132" s="146">
        <v>1</v>
      </c>
      <c r="O132" s="146"/>
      <c r="P132" s="146">
        <v>1</v>
      </c>
      <c r="Q132" s="146"/>
      <c r="R132" s="146"/>
      <c r="S132" s="146"/>
      <c r="T132" s="146"/>
    </row>
    <row r="133" spans="1:20" x14ac:dyDescent="0.3">
      <c r="A133" s="146" t="s">
        <v>157</v>
      </c>
      <c r="B133" s="146" t="s">
        <v>2161</v>
      </c>
      <c r="C133" s="146" t="s">
        <v>149</v>
      </c>
      <c r="D133" s="146">
        <v>1</v>
      </c>
      <c r="E133" s="146">
        <v>1</v>
      </c>
      <c r="F133" s="146">
        <v>1</v>
      </c>
      <c r="G133" s="146">
        <v>1</v>
      </c>
      <c r="H133" s="146">
        <v>1</v>
      </c>
      <c r="I133" s="146">
        <v>1</v>
      </c>
      <c r="J133" s="146">
        <v>1</v>
      </c>
      <c r="K133" s="146">
        <v>1</v>
      </c>
      <c r="L133" s="146">
        <v>1</v>
      </c>
      <c r="M133" s="146"/>
      <c r="N133" s="146">
        <v>1</v>
      </c>
      <c r="O133" s="146"/>
      <c r="P133" s="146">
        <v>1</v>
      </c>
      <c r="Q133" s="146"/>
      <c r="R133" s="146"/>
      <c r="S133" s="146"/>
      <c r="T133" s="146"/>
    </row>
    <row r="134" spans="1:20" x14ac:dyDescent="0.3">
      <c r="A134" s="146" t="s">
        <v>157</v>
      </c>
      <c r="B134" s="146" t="s">
        <v>435</v>
      </c>
      <c r="C134" s="146" t="s">
        <v>2099</v>
      </c>
      <c r="D134" s="146">
        <v>1</v>
      </c>
      <c r="E134" s="146"/>
      <c r="F134" s="146"/>
      <c r="G134" s="146">
        <v>1</v>
      </c>
      <c r="H134" s="146">
        <v>1</v>
      </c>
      <c r="I134" s="146">
        <v>1</v>
      </c>
      <c r="J134" s="146"/>
      <c r="K134" s="146"/>
      <c r="L134" s="146"/>
      <c r="M134" s="146"/>
      <c r="N134" s="146">
        <v>1</v>
      </c>
      <c r="O134" s="146"/>
      <c r="P134" s="146">
        <v>1</v>
      </c>
      <c r="Q134" s="146"/>
      <c r="R134" s="146"/>
      <c r="S134" s="146"/>
      <c r="T134" s="146"/>
    </row>
    <row r="135" spans="1:20" x14ac:dyDescent="0.3">
      <c r="A135" s="146" t="s">
        <v>181</v>
      </c>
      <c r="B135" s="146" t="s">
        <v>1515</v>
      </c>
      <c r="C135" s="146" t="s">
        <v>2099</v>
      </c>
      <c r="D135" s="146">
        <v>1</v>
      </c>
      <c r="E135" s="146">
        <v>1</v>
      </c>
      <c r="F135" s="146"/>
      <c r="G135" s="146">
        <v>1</v>
      </c>
      <c r="H135" s="146">
        <v>1</v>
      </c>
      <c r="I135" s="146">
        <v>1</v>
      </c>
      <c r="J135" s="146"/>
      <c r="K135" s="146"/>
      <c r="L135" s="146"/>
      <c r="M135" s="146"/>
      <c r="N135" s="146">
        <v>1</v>
      </c>
      <c r="O135" s="146"/>
      <c r="P135" s="146">
        <v>1</v>
      </c>
      <c r="Q135" s="146"/>
      <c r="R135" s="146"/>
      <c r="S135" s="146"/>
      <c r="T135" s="146"/>
    </row>
    <row r="136" spans="1:20" x14ac:dyDescent="0.3">
      <c r="A136" s="146" t="s">
        <v>185</v>
      </c>
      <c r="B136" s="146" t="s">
        <v>1613</v>
      </c>
      <c r="C136" s="146" t="s">
        <v>2099</v>
      </c>
      <c r="D136" s="146">
        <v>1</v>
      </c>
      <c r="E136" s="146">
        <v>1</v>
      </c>
      <c r="F136" s="146">
        <v>1</v>
      </c>
      <c r="G136" s="146">
        <v>1</v>
      </c>
      <c r="H136" s="146">
        <v>1</v>
      </c>
      <c r="I136" s="146">
        <v>1</v>
      </c>
      <c r="J136" s="146">
        <v>1</v>
      </c>
      <c r="K136" s="146">
        <v>1</v>
      </c>
      <c r="L136" s="146"/>
      <c r="M136" s="146"/>
      <c r="N136" s="146">
        <v>1</v>
      </c>
      <c r="O136" s="146"/>
      <c r="P136" s="146">
        <v>1</v>
      </c>
      <c r="Q136" s="146"/>
      <c r="R136" s="146"/>
      <c r="S136" s="146"/>
      <c r="T136" s="146"/>
    </row>
    <row r="137" spans="1:20" x14ac:dyDescent="0.3">
      <c r="A137" s="146" t="s">
        <v>163</v>
      </c>
      <c r="B137" s="146" t="s">
        <v>2162</v>
      </c>
      <c r="C137" s="146" t="s">
        <v>2099</v>
      </c>
      <c r="D137" s="146">
        <v>1</v>
      </c>
      <c r="E137" s="146"/>
      <c r="F137" s="146"/>
      <c r="G137" s="146">
        <v>1</v>
      </c>
      <c r="H137" s="146"/>
      <c r="I137" s="146"/>
      <c r="J137" s="146"/>
      <c r="K137" s="146"/>
      <c r="L137" s="146"/>
      <c r="M137" s="146"/>
      <c r="N137" s="146">
        <v>1</v>
      </c>
      <c r="O137" s="146"/>
      <c r="P137" s="146">
        <v>1</v>
      </c>
      <c r="Q137" s="146"/>
      <c r="R137" s="146"/>
      <c r="S137" s="146"/>
      <c r="T137" s="146"/>
    </row>
    <row r="138" spans="1:20" x14ac:dyDescent="0.3">
      <c r="A138" s="146" t="s">
        <v>199</v>
      </c>
      <c r="B138" s="146" t="s">
        <v>2163</v>
      </c>
      <c r="C138" s="146" t="s">
        <v>2102</v>
      </c>
      <c r="D138" s="146">
        <v>1</v>
      </c>
      <c r="E138" s="146"/>
      <c r="F138" s="146"/>
      <c r="G138" s="146"/>
      <c r="H138" s="146"/>
      <c r="I138" s="146"/>
      <c r="J138" s="146"/>
      <c r="K138" s="146"/>
      <c r="L138" s="146"/>
      <c r="M138" s="146"/>
      <c r="N138" s="146">
        <v>1</v>
      </c>
      <c r="O138" s="146"/>
      <c r="P138" s="146">
        <v>1</v>
      </c>
      <c r="Q138" s="146"/>
      <c r="R138" s="146"/>
      <c r="S138" s="146"/>
      <c r="T138" s="146"/>
    </row>
    <row r="139" spans="1:20" x14ac:dyDescent="0.3">
      <c r="A139" s="146" t="s">
        <v>178</v>
      </c>
      <c r="B139" s="146" t="s">
        <v>1285</v>
      </c>
      <c r="C139" s="146" t="s">
        <v>2099</v>
      </c>
      <c r="D139" s="146">
        <v>1</v>
      </c>
      <c r="E139" s="146">
        <v>1</v>
      </c>
      <c r="F139" s="146"/>
      <c r="G139" s="146">
        <v>1</v>
      </c>
      <c r="H139" s="146">
        <v>1</v>
      </c>
      <c r="I139" s="146">
        <v>1</v>
      </c>
      <c r="J139" s="146"/>
      <c r="K139" s="146"/>
      <c r="L139" s="146"/>
      <c r="M139" s="146"/>
      <c r="N139" s="146">
        <v>1</v>
      </c>
      <c r="O139" s="146"/>
      <c r="P139" s="146">
        <v>1</v>
      </c>
      <c r="Q139" s="146"/>
      <c r="R139" s="146"/>
      <c r="S139" s="146"/>
      <c r="T139" s="146"/>
    </row>
    <row r="140" spans="1:20" x14ac:dyDescent="0.3">
      <c r="A140" s="146" t="s">
        <v>163</v>
      </c>
      <c r="B140" s="146" t="s">
        <v>2164</v>
      </c>
      <c r="C140" s="146" t="s">
        <v>2099</v>
      </c>
      <c r="D140" s="146">
        <v>1</v>
      </c>
      <c r="E140" s="146"/>
      <c r="F140" s="146"/>
      <c r="G140" s="146">
        <v>1</v>
      </c>
      <c r="H140" s="146"/>
      <c r="I140" s="146"/>
      <c r="J140" s="146"/>
      <c r="K140" s="146"/>
      <c r="L140" s="146"/>
      <c r="M140" s="146"/>
      <c r="N140" s="146">
        <v>1</v>
      </c>
      <c r="O140" s="146"/>
      <c r="P140" s="146">
        <v>1</v>
      </c>
      <c r="Q140" s="146"/>
      <c r="R140" s="146"/>
      <c r="S140" s="146"/>
      <c r="T140" s="146"/>
    </row>
    <row r="141" spans="1:20" x14ac:dyDescent="0.3">
      <c r="A141" s="146" t="s">
        <v>158</v>
      </c>
      <c r="B141" s="146" t="s">
        <v>2165</v>
      </c>
      <c r="C141" s="146" t="s">
        <v>2102</v>
      </c>
      <c r="D141" s="146">
        <v>1</v>
      </c>
      <c r="E141" s="146"/>
      <c r="F141" s="146"/>
      <c r="G141" s="146">
        <v>1</v>
      </c>
      <c r="H141" s="146"/>
      <c r="I141" s="146"/>
      <c r="J141" s="146"/>
      <c r="K141" s="146"/>
      <c r="L141" s="146"/>
      <c r="M141" s="146"/>
      <c r="N141" s="146">
        <v>1</v>
      </c>
      <c r="O141" s="146"/>
      <c r="P141" s="146">
        <v>1</v>
      </c>
      <c r="Q141" s="146"/>
      <c r="R141" s="146">
        <v>1</v>
      </c>
      <c r="S141" s="146"/>
      <c r="T141" s="146"/>
    </row>
    <row r="142" spans="1:20" x14ac:dyDescent="0.3">
      <c r="A142" s="146" t="s">
        <v>173</v>
      </c>
      <c r="B142" s="146" t="s">
        <v>1041</v>
      </c>
      <c r="C142" s="146" t="s">
        <v>2099</v>
      </c>
      <c r="D142" s="146">
        <v>1</v>
      </c>
      <c r="E142" s="146">
        <v>1</v>
      </c>
      <c r="F142" s="146">
        <v>1</v>
      </c>
      <c r="G142" s="146">
        <v>1</v>
      </c>
      <c r="H142" s="146">
        <v>1</v>
      </c>
      <c r="I142" s="146">
        <v>1</v>
      </c>
      <c r="J142" s="146">
        <v>1</v>
      </c>
      <c r="K142" s="146"/>
      <c r="L142" s="146"/>
      <c r="M142" s="146"/>
      <c r="N142" s="146">
        <v>1</v>
      </c>
      <c r="O142" s="146"/>
      <c r="P142" s="146">
        <v>1</v>
      </c>
      <c r="Q142" s="146"/>
      <c r="R142" s="146"/>
      <c r="S142" s="146"/>
      <c r="T142" s="146"/>
    </row>
    <row r="143" spans="1:20" x14ac:dyDescent="0.3">
      <c r="A143" s="146" t="s">
        <v>168</v>
      </c>
      <c r="B143" s="146" t="s">
        <v>824</v>
      </c>
      <c r="C143" s="146" t="s">
        <v>2099</v>
      </c>
      <c r="D143" s="146">
        <v>1</v>
      </c>
      <c r="E143" s="146">
        <v>1</v>
      </c>
      <c r="F143" s="146"/>
      <c r="G143" s="146">
        <v>1</v>
      </c>
      <c r="H143" s="146">
        <v>1</v>
      </c>
      <c r="I143" s="146"/>
      <c r="J143" s="146"/>
      <c r="K143" s="146"/>
      <c r="L143" s="146"/>
      <c r="M143" s="146"/>
      <c r="N143" s="146">
        <v>1</v>
      </c>
      <c r="O143" s="146"/>
      <c r="P143" s="146">
        <v>1</v>
      </c>
      <c r="Q143" s="146"/>
      <c r="R143" s="146"/>
      <c r="S143" s="146"/>
      <c r="T143" s="146"/>
    </row>
    <row r="144" spans="1:20" x14ac:dyDescent="0.3">
      <c r="A144" s="146" t="s">
        <v>169</v>
      </c>
      <c r="B144" s="146" t="s">
        <v>897</v>
      </c>
      <c r="C144" s="146" t="s">
        <v>2099</v>
      </c>
      <c r="D144" s="146">
        <v>1</v>
      </c>
      <c r="E144" s="146">
        <v>1</v>
      </c>
      <c r="F144" s="146"/>
      <c r="G144" s="146">
        <v>1</v>
      </c>
      <c r="H144" s="146">
        <v>1</v>
      </c>
      <c r="I144" s="146">
        <v>1</v>
      </c>
      <c r="J144" s="146"/>
      <c r="K144" s="146"/>
      <c r="L144" s="146"/>
      <c r="M144" s="146"/>
      <c r="N144" s="146">
        <v>1</v>
      </c>
      <c r="O144" s="146"/>
      <c r="P144" s="146">
        <v>1</v>
      </c>
      <c r="Q144" s="146"/>
      <c r="R144" s="146"/>
      <c r="S144" s="146"/>
      <c r="T144" s="146"/>
    </row>
    <row r="145" spans="1:20" x14ac:dyDescent="0.3">
      <c r="A145" s="146" t="s">
        <v>169</v>
      </c>
      <c r="B145" s="146" t="s">
        <v>898</v>
      </c>
      <c r="C145" s="146" t="s">
        <v>2099</v>
      </c>
      <c r="D145" s="146">
        <v>1</v>
      </c>
      <c r="E145" s="146"/>
      <c r="F145" s="146"/>
      <c r="G145" s="146">
        <v>1</v>
      </c>
      <c r="H145" s="146">
        <v>1</v>
      </c>
      <c r="I145" s="146"/>
      <c r="J145" s="146"/>
      <c r="K145" s="146"/>
      <c r="L145" s="146"/>
      <c r="M145" s="146"/>
      <c r="N145" s="146">
        <v>1</v>
      </c>
      <c r="O145" s="146"/>
      <c r="P145" s="146">
        <v>1</v>
      </c>
      <c r="Q145" s="146"/>
      <c r="R145" s="146"/>
      <c r="S145" s="146"/>
      <c r="T145" s="146"/>
    </row>
    <row r="146" spans="1:20" x14ac:dyDescent="0.3">
      <c r="A146" s="146" t="s">
        <v>199</v>
      </c>
      <c r="B146" s="146" t="s">
        <v>2166</v>
      </c>
      <c r="C146" s="146" t="s">
        <v>2099</v>
      </c>
      <c r="D146" s="146">
        <v>1</v>
      </c>
      <c r="E146" s="146"/>
      <c r="F146" s="146"/>
      <c r="G146" s="146">
        <v>1</v>
      </c>
      <c r="H146" s="146"/>
      <c r="I146" s="146"/>
      <c r="J146" s="146">
        <v>1</v>
      </c>
      <c r="K146" s="146"/>
      <c r="L146" s="146"/>
      <c r="M146" s="146"/>
      <c r="N146" s="146">
        <v>1</v>
      </c>
      <c r="O146" s="146"/>
      <c r="P146" s="146">
        <v>1</v>
      </c>
      <c r="Q146" s="146"/>
      <c r="R146" s="146"/>
      <c r="S146" s="146"/>
      <c r="T146" s="146"/>
    </row>
    <row r="147" spans="1:20" x14ac:dyDescent="0.3">
      <c r="A147" s="146" t="s">
        <v>178</v>
      </c>
      <c r="B147" s="146" t="s">
        <v>1286</v>
      </c>
      <c r="C147" s="146" t="s">
        <v>2099</v>
      </c>
      <c r="D147" s="146">
        <v>1</v>
      </c>
      <c r="E147" s="146">
        <v>1</v>
      </c>
      <c r="F147" s="146"/>
      <c r="G147" s="146">
        <v>1</v>
      </c>
      <c r="H147" s="146">
        <v>1</v>
      </c>
      <c r="I147" s="146"/>
      <c r="J147" s="146"/>
      <c r="K147" s="146"/>
      <c r="L147" s="146"/>
      <c r="M147" s="146"/>
      <c r="N147" s="146">
        <v>1</v>
      </c>
      <c r="O147" s="146"/>
      <c r="P147" s="146">
        <v>1</v>
      </c>
      <c r="Q147" s="146"/>
      <c r="R147" s="146"/>
      <c r="S147" s="146"/>
      <c r="T147" s="146"/>
    </row>
    <row r="148" spans="1:20" x14ac:dyDescent="0.3">
      <c r="A148" s="146" t="s">
        <v>178</v>
      </c>
      <c r="B148" s="146" t="s">
        <v>2167</v>
      </c>
      <c r="C148" s="146" t="s">
        <v>2099</v>
      </c>
      <c r="D148" s="146">
        <v>1</v>
      </c>
      <c r="E148" s="146">
        <v>1</v>
      </c>
      <c r="F148" s="146">
        <v>1</v>
      </c>
      <c r="G148" s="146">
        <v>1</v>
      </c>
      <c r="H148" s="146">
        <v>1</v>
      </c>
      <c r="I148" s="146">
        <v>1</v>
      </c>
      <c r="J148" s="146">
        <v>1</v>
      </c>
      <c r="K148" s="146"/>
      <c r="L148" s="146"/>
      <c r="M148" s="146"/>
      <c r="N148" s="146">
        <v>1</v>
      </c>
      <c r="O148" s="146"/>
      <c r="P148" s="146">
        <v>1</v>
      </c>
      <c r="Q148" s="146"/>
      <c r="R148" s="146"/>
      <c r="S148" s="146"/>
      <c r="T148" s="146"/>
    </row>
    <row r="149" spans="1:20" x14ac:dyDescent="0.3">
      <c r="A149" s="146" t="s">
        <v>285</v>
      </c>
      <c r="B149" s="146" t="s">
        <v>518</v>
      </c>
      <c r="C149" s="146" t="s">
        <v>149</v>
      </c>
      <c r="D149" s="146">
        <v>1</v>
      </c>
      <c r="E149" s="146">
        <v>1</v>
      </c>
      <c r="F149" s="146">
        <v>1</v>
      </c>
      <c r="G149" s="146">
        <v>1</v>
      </c>
      <c r="H149" s="146">
        <v>1</v>
      </c>
      <c r="I149" s="146">
        <v>1</v>
      </c>
      <c r="J149" s="146">
        <v>1</v>
      </c>
      <c r="K149" s="146">
        <v>1</v>
      </c>
      <c r="L149" s="146"/>
      <c r="M149" s="146">
        <v>1</v>
      </c>
      <c r="N149" s="146">
        <v>1</v>
      </c>
      <c r="O149" s="146">
        <v>1</v>
      </c>
      <c r="P149" s="146">
        <v>1</v>
      </c>
      <c r="Q149" s="146"/>
      <c r="R149" s="146"/>
      <c r="S149" s="146"/>
      <c r="T149" s="146"/>
    </row>
    <row r="150" spans="1:20" x14ac:dyDescent="0.3">
      <c r="A150" s="146" t="s">
        <v>285</v>
      </c>
      <c r="B150" s="146" t="s">
        <v>2168</v>
      </c>
      <c r="C150" s="146" t="s">
        <v>2099</v>
      </c>
      <c r="D150" s="146">
        <v>1</v>
      </c>
      <c r="E150" s="146">
        <v>1</v>
      </c>
      <c r="F150" s="146">
        <v>1</v>
      </c>
      <c r="G150" s="146">
        <v>1</v>
      </c>
      <c r="H150" s="146">
        <v>1</v>
      </c>
      <c r="I150" s="146">
        <v>1</v>
      </c>
      <c r="J150" s="146">
        <v>1</v>
      </c>
      <c r="K150" s="146"/>
      <c r="L150" s="146"/>
      <c r="M150" s="146"/>
      <c r="N150" s="146">
        <v>1</v>
      </c>
      <c r="O150" s="146"/>
      <c r="P150" s="146">
        <v>1</v>
      </c>
      <c r="Q150" s="146"/>
      <c r="R150" s="146"/>
      <c r="S150" s="146"/>
      <c r="T150" s="146"/>
    </row>
    <row r="151" spans="1:20" x14ac:dyDescent="0.3">
      <c r="A151" s="146" t="s">
        <v>167</v>
      </c>
      <c r="B151" s="146" t="s">
        <v>2169</v>
      </c>
      <c r="C151" s="146" t="s">
        <v>2099</v>
      </c>
      <c r="D151" s="146">
        <v>1</v>
      </c>
      <c r="E151" s="146">
        <v>1</v>
      </c>
      <c r="F151" s="146"/>
      <c r="G151" s="146">
        <v>1</v>
      </c>
      <c r="H151" s="146">
        <v>1</v>
      </c>
      <c r="I151" s="146">
        <v>1</v>
      </c>
      <c r="J151" s="146"/>
      <c r="K151" s="146"/>
      <c r="L151" s="146"/>
      <c r="M151" s="146"/>
      <c r="N151" s="146">
        <v>1</v>
      </c>
      <c r="O151" s="146"/>
      <c r="P151" s="146">
        <v>1</v>
      </c>
      <c r="Q151" s="146"/>
      <c r="R151" s="146"/>
      <c r="S151" s="146"/>
      <c r="T151" s="146"/>
    </row>
    <row r="152" spans="1:20" x14ac:dyDescent="0.3">
      <c r="A152" s="146" t="s">
        <v>164</v>
      </c>
      <c r="B152" s="146" t="s">
        <v>205</v>
      </c>
      <c r="C152" s="146" t="s">
        <v>2106</v>
      </c>
      <c r="D152" s="146">
        <v>1</v>
      </c>
      <c r="E152" s="146">
        <v>1</v>
      </c>
      <c r="F152" s="146">
        <v>1</v>
      </c>
      <c r="G152" s="146">
        <v>1</v>
      </c>
      <c r="H152" s="146">
        <v>1</v>
      </c>
      <c r="I152" s="146">
        <v>1</v>
      </c>
      <c r="J152" s="146">
        <v>1</v>
      </c>
      <c r="K152" s="146">
        <v>1</v>
      </c>
      <c r="L152" s="146">
        <v>1</v>
      </c>
      <c r="M152" s="146">
        <v>1</v>
      </c>
      <c r="N152" s="146">
        <v>1</v>
      </c>
      <c r="O152" s="146"/>
      <c r="P152" s="146">
        <v>1</v>
      </c>
      <c r="Q152" s="146">
        <v>1</v>
      </c>
      <c r="R152" s="146"/>
      <c r="S152" s="146"/>
      <c r="T152" s="146"/>
    </row>
    <row r="153" spans="1:20" x14ac:dyDescent="0.3">
      <c r="A153" s="146" t="s">
        <v>180</v>
      </c>
      <c r="B153" s="146" t="s">
        <v>1430</v>
      </c>
      <c r="C153" s="146" t="s">
        <v>2099</v>
      </c>
      <c r="D153" s="146">
        <v>1</v>
      </c>
      <c r="E153" s="146"/>
      <c r="F153" s="146"/>
      <c r="G153" s="146">
        <v>1</v>
      </c>
      <c r="H153" s="146"/>
      <c r="I153" s="146"/>
      <c r="J153" s="146"/>
      <c r="K153" s="146"/>
      <c r="L153" s="146"/>
      <c r="M153" s="146"/>
      <c r="N153" s="146">
        <v>1</v>
      </c>
      <c r="O153" s="146"/>
      <c r="P153" s="146">
        <v>1</v>
      </c>
      <c r="Q153" s="146"/>
      <c r="R153" s="146"/>
      <c r="S153" s="146"/>
      <c r="T153" s="146"/>
    </row>
    <row r="154" spans="1:20" x14ac:dyDescent="0.3">
      <c r="A154" s="146" t="s">
        <v>166</v>
      </c>
      <c r="B154" s="146" t="s">
        <v>208</v>
      </c>
      <c r="C154" s="146" t="s">
        <v>2106</v>
      </c>
      <c r="D154" s="146">
        <v>1</v>
      </c>
      <c r="E154" s="146">
        <v>1</v>
      </c>
      <c r="F154" s="146">
        <v>1</v>
      </c>
      <c r="G154" s="146">
        <v>1</v>
      </c>
      <c r="H154" s="146">
        <v>1</v>
      </c>
      <c r="I154" s="146">
        <v>1</v>
      </c>
      <c r="J154" s="146">
        <v>1</v>
      </c>
      <c r="K154" s="146">
        <v>1</v>
      </c>
      <c r="L154" s="146">
        <v>1</v>
      </c>
      <c r="M154" s="146">
        <v>1</v>
      </c>
      <c r="N154" s="146">
        <v>1</v>
      </c>
      <c r="O154" s="146">
        <v>1</v>
      </c>
      <c r="P154" s="146">
        <v>1</v>
      </c>
      <c r="Q154" s="146">
        <v>1</v>
      </c>
      <c r="R154" s="146"/>
      <c r="S154" s="146"/>
      <c r="T154" s="146"/>
    </row>
    <row r="155" spans="1:20" x14ac:dyDescent="0.3">
      <c r="A155" s="146" t="s">
        <v>167</v>
      </c>
      <c r="B155" s="146" t="s">
        <v>789</v>
      </c>
      <c r="C155" s="146" t="s">
        <v>2099</v>
      </c>
      <c r="D155" s="146">
        <v>1</v>
      </c>
      <c r="E155" s="146">
        <v>1</v>
      </c>
      <c r="F155" s="146"/>
      <c r="G155" s="146">
        <v>1</v>
      </c>
      <c r="H155" s="146">
        <v>1</v>
      </c>
      <c r="I155" s="146">
        <v>1</v>
      </c>
      <c r="J155" s="146">
        <v>1</v>
      </c>
      <c r="K155" s="146"/>
      <c r="L155" s="146"/>
      <c r="M155" s="146"/>
      <c r="N155" s="146">
        <v>1</v>
      </c>
      <c r="O155" s="146"/>
      <c r="P155" s="146">
        <v>1</v>
      </c>
      <c r="Q155" s="146"/>
      <c r="R155" s="146"/>
      <c r="S155" s="146"/>
      <c r="T155" s="146"/>
    </row>
    <row r="156" spans="1:20" x14ac:dyDescent="0.3">
      <c r="A156" s="146" t="s">
        <v>156</v>
      </c>
      <c r="B156" s="146" t="s">
        <v>396</v>
      </c>
      <c r="C156" s="146" t="s">
        <v>2099</v>
      </c>
      <c r="D156" s="146">
        <v>1</v>
      </c>
      <c r="E156" s="146">
        <v>1</v>
      </c>
      <c r="F156" s="146"/>
      <c r="G156" s="146">
        <v>1</v>
      </c>
      <c r="H156" s="146">
        <v>1</v>
      </c>
      <c r="I156" s="146">
        <v>1</v>
      </c>
      <c r="J156" s="146"/>
      <c r="K156" s="146"/>
      <c r="L156" s="146"/>
      <c r="M156" s="146"/>
      <c r="N156" s="146">
        <v>1</v>
      </c>
      <c r="O156" s="146"/>
      <c r="P156" s="146">
        <v>1</v>
      </c>
      <c r="Q156" s="146"/>
      <c r="R156" s="146"/>
      <c r="S156" s="146"/>
      <c r="T156" s="146"/>
    </row>
    <row r="157" spans="1:20" x14ac:dyDescent="0.3">
      <c r="A157" s="146" t="s">
        <v>198</v>
      </c>
      <c r="B157" s="146" t="s">
        <v>613</v>
      </c>
      <c r="C157" s="146" t="s">
        <v>2099</v>
      </c>
      <c r="D157" s="146">
        <v>1</v>
      </c>
      <c r="E157" s="146">
        <v>1</v>
      </c>
      <c r="F157" s="146"/>
      <c r="G157" s="146">
        <v>1</v>
      </c>
      <c r="H157" s="146">
        <v>1</v>
      </c>
      <c r="I157" s="146">
        <v>1</v>
      </c>
      <c r="J157" s="146"/>
      <c r="K157" s="146"/>
      <c r="L157" s="146"/>
      <c r="M157" s="146"/>
      <c r="N157" s="146">
        <v>1</v>
      </c>
      <c r="O157" s="146"/>
      <c r="P157" s="146">
        <v>1</v>
      </c>
      <c r="Q157" s="146"/>
      <c r="R157" s="146"/>
      <c r="S157" s="146"/>
      <c r="T157" s="146"/>
    </row>
    <row r="158" spans="1:20" x14ac:dyDescent="0.3">
      <c r="A158" s="146" t="s">
        <v>163</v>
      </c>
      <c r="B158" s="146" t="s">
        <v>238</v>
      </c>
      <c r="C158" s="146" t="s">
        <v>2106</v>
      </c>
      <c r="D158" s="146">
        <v>1</v>
      </c>
      <c r="E158" s="146">
        <v>1</v>
      </c>
      <c r="F158" s="146">
        <v>1</v>
      </c>
      <c r="G158" s="146">
        <v>1</v>
      </c>
      <c r="H158" s="146">
        <v>1</v>
      </c>
      <c r="I158" s="146">
        <v>1</v>
      </c>
      <c r="J158" s="146">
        <v>1</v>
      </c>
      <c r="K158" s="146">
        <v>1</v>
      </c>
      <c r="L158" s="146">
        <v>1</v>
      </c>
      <c r="M158" s="146"/>
      <c r="N158" s="146">
        <v>1</v>
      </c>
      <c r="O158" s="146">
        <v>1</v>
      </c>
      <c r="P158" s="146">
        <v>1</v>
      </c>
      <c r="Q158" s="146"/>
      <c r="R158" s="146"/>
      <c r="S158" s="146"/>
      <c r="T158" s="146"/>
    </row>
    <row r="159" spans="1:20" x14ac:dyDescent="0.3">
      <c r="A159" s="146" t="s">
        <v>163</v>
      </c>
      <c r="B159" s="146" t="s">
        <v>2170</v>
      </c>
      <c r="C159" s="146" t="s">
        <v>2102</v>
      </c>
      <c r="D159" s="146">
        <v>1</v>
      </c>
      <c r="E159" s="146"/>
      <c r="F159" s="146"/>
      <c r="G159" s="146">
        <v>1</v>
      </c>
      <c r="H159" s="146"/>
      <c r="I159" s="146"/>
      <c r="J159" s="146"/>
      <c r="K159" s="146"/>
      <c r="L159" s="146"/>
      <c r="M159" s="146"/>
      <c r="N159" s="146">
        <v>1</v>
      </c>
      <c r="O159" s="146"/>
      <c r="P159" s="146">
        <v>1</v>
      </c>
      <c r="Q159" s="146"/>
      <c r="R159" s="146"/>
      <c r="S159" s="146"/>
      <c r="T159" s="146"/>
    </row>
    <row r="160" spans="1:20" x14ac:dyDescent="0.3">
      <c r="A160" s="146" t="s">
        <v>158</v>
      </c>
      <c r="B160" s="146" t="s">
        <v>2171</v>
      </c>
      <c r="C160" s="146" t="s">
        <v>2102</v>
      </c>
      <c r="D160" s="146">
        <v>1</v>
      </c>
      <c r="E160" s="146">
        <v>1</v>
      </c>
      <c r="F160" s="146"/>
      <c r="G160" s="146">
        <v>1</v>
      </c>
      <c r="H160" s="146">
        <v>1</v>
      </c>
      <c r="I160" s="146">
        <v>1</v>
      </c>
      <c r="J160" s="146"/>
      <c r="K160" s="146"/>
      <c r="L160" s="146"/>
      <c r="M160" s="146"/>
      <c r="N160" s="146">
        <v>1</v>
      </c>
      <c r="O160" s="146"/>
      <c r="P160" s="146">
        <v>1</v>
      </c>
      <c r="Q160" s="146"/>
      <c r="R160" s="146"/>
      <c r="S160" s="146"/>
      <c r="T160" s="146"/>
    </row>
    <row r="161" spans="1:20" x14ac:dyDescent="0.3">
      <c r="A161" s="146" t="s">
        <v>166</v>
      </c>
      <c r="B161" s="146" t="s">
        <v>771</v>
      </c>
      <c r="C161" s="146" t="s">
        <v>2099</v>
      </c>
      <c r="D161" s="146">
        <v>1</v>
      </c>
      <c r="E161" s="146">
        <v>1</v>
      </c>
      <c r="F161" s="146"/>
      <c r="G161" s="146">
        <v>1</v>
      </c>
      <c r="H161" s="146">
        <v>1</v>
      </c>
      <c r="I161" s="146"/>
      <c r="J161" s="146">
        <v>1</v>
      </c>
      <c r="K161" s="146"/>
      <c r="L161" s="146"/>
      <c r="M161" s="146"/>
      <c r="N161" s="146">
        <v>1</v>
      </c>
      <c r="O161" s="146"/>
      <c r="P161" s="146">
        <v>1</v>
      </c>
      <c r="Q161" s="146"/>
      <c r="R161" s="146"/>
      <c r="S161" s="146"/>
      <c r="T161" s="146"/>
    </row>
    <row r="162" spans="1:20" x14ac:dyDescent="0.3">
      <c r="A162" s="146" t="s">
        <v>177</v>
      </c>
      <c r="B162" s="146" t="s">
        <v>1224</v>
      </c>
      <c r="C162" s="146" t="s">
        <v>2099</v>
      </c>
      <c r="D162" s="146">
        <v>1</v>
      </c>
      <c r="E162" s="146"/>
      <c r="F162" s="146"/>
      <c r="G162" s="146">
        <v>1</v>
      </c>
      <c r="H162" s="146"/>
      <c r="I162" s="146"/>
      <c r="J162" s="146"/>
      <c r="K162" s="146"/>
      <c r="L162" s="146"/>
      <c r="M162" s="146"/>
      <c r="N162" s="146">
        <v>1</v>
      </c>
      <c r="O162" s="146"/>
      <c r="P162" s="146">
        <v>1</v>
      </c>
      <c r="Q162" s="146"/>
      <c r="R162" s="146"/>
      <c r="S162" s="146"/>
      <c r="T162" s="146"/>
    </row>
    <row r="163" spans="1:20" x14ac:dyDescent="0.3">
      <c r="A163" s="146" t="s">
        <v>190</v>
      </c>
      <c r="B163" s="146" t="s">
        <v>2172</v>
      </c>
      <c r="C163" s="146" t="s">
        <v>2102</v>
      </c>
      <c r="D163" s="146">
        <v>1</v>
      </c>
      <c r="E163" s="146"/>
      <c r="F163" s="146"/>
      <c r="G163" s="146">
        <v>1</v>
      </c>
      <c r="H163" s="146"/>
      <c r="I163" s="146"/>
      <c r="J163" s="146"/>
      <c r="K163" s="146"/>
      <c r="L163" s="146"/>
      <c r="M163" s="146"/>
      <c r="N163" s="146">
        <v>1</v>
      </c>
      <c r="O163" s="146"/>
      <c r="P163" s="146">
        <v>1</v>
      </c>
      <c r="Q163" s="146"/>
      <c r="R163" s="146"/>
      <c r="S163" s="146"/>
      <c r="T163" s="146"/>
    </row>
    <row r="164" spans="1:20" x14ac:dyDescent="0.3">
      <c r="A164" s="146" t="s">
        <v>190</v>
      </c>
      <c r="B164" s="146" t="s">
        <v>2173</v>
      </c>
      <c r="C164" s="146" t="s">
        <v>2099</v>
      </c>
      <c r="D164" s="146">
        <v>1</v>
      </c>
      <c r="E164" s="146">
        <v>1</v>
      </c>
      <c r="F164" s="146"/>
      <c r="G164" s="146">
        <v>1</v>
      </c>
      <c r="H164" s="146">
        <v>1</v>
      </c>
      <c r="I164" s="146">
        <v>1</v>
      </c>
      <c r="J164" s="146"/>
      <c r="K164" s="146"/>
      <c r="L164" s="146"/>
      <c r="M164" s="146"/>
      <c r="N164" s="146">
        <v>1</v>
      </c>
      <c r="O164" s="146"/>
      <c r="P164" s="146">
        <v>1</v>
      </c>
      <c r="Q164" s="146"/>
      <c r="R164" s="146"/>
      <c r="S164" s="146"/>
      <c r="T164" s="146"/>
    </row>
    <row r="165" spans="1:20" x14ac:dyDescent="0.3">
      <c r="A165" s="146" t="s">
        <v>174</v>
      </c>
      <c r="B165" s="146" t="s">
        <v>1105</v>
      </c>
      <c r="C165" s="146" t="s">
        <v>2099</v>
      </c>
      <c r="D165" s="146">
        <v>1</v>
      </c>
      <c r="E165" s="146">
        <v>1</v>
      </c>
      <c r="F165" s="146">
        <v>1</v>
      </c>
      <c r="G165" s="146">
        <v>1</v>
      </c>
      <c r="H165" s="146">
        <v>1</v>
      </c>
      <c r="I165" s="146">
        <v>1</v>
      </c>
      <c r="J165" s="146">
        <v>1</v>
      </c>
      <c r="K165" s="146"/>
      <c r="L165" s="146"/>
      <c r="M165" s="146"/>
      <c r="N165" s="146">
        <v>1</v>
      </c>
      <c r="O165" s="146"/>
      <c r="P165" s="146">
        <v>1</v>
      </c>
      <c r="Q165" s="146"/>
      <c r="R165" s="146"/>
      <c r="S165" s="146"/>
      <c r="T165" s="146"/>
    </row>
    <row r="166" spans="1:20" x14ac:dyDescent="0.3">
      <c r="A166" s="146" t="s">
        <v>163</v>
      </c>
      <c r="B166" s="146" t="s">
        <v>2174</v>
      </c>
      <c r="C166" s="146" t="s">
        <v>2099</v>
      </c>
      <c r="D166" s="146">
        <v>1</v>
      </c>
      <c r="E166" s="146"/>
      <c r="F166" s="146"/>
      <c r="G166" s="146">
        <v>1</v>
      </c>
      <c r="H166" s="146">
        <v>1</v>
      </c>
      <c r="I166" s="146">
        <v>1</v>
      </c>
      <c r="J166" s="146"/>
      <c r="K166" s="146"/>
      <c r="L166" s="146"/>
      <c r="M166" s="146"/>
      <c r="N166" s="146">
        <v>1</v>
      </c>
      <c r="O166" s="146"/>
      <c r="P166" s="146">
        <v>1</v>
      </c>
      <c r="Q166" s="146"/>
      <c r="R166" s="146"/>
      <c r="S166" s="146"/>
      <c r="T166" s="146"/>
    </row>
    <row r="167" spans="1:20" x14ac:dyDescent="0.3">
      <c r="A167" s="146" t="s">
        <v>200</v>
      </c>
      <c r="B167" s="146" t="s">
        <v>2175</v>
      </c>
      <c r="C167" s="146" t="s">
        <v>2099</v>
      </c>
      <c r="D167" s="146">
        <v>1</v>
      </c>
      <c r="E167" s="146"/>
      <c r="F167" s="146"/>
      <c r="G167" s="146">
        <v>1</v>
      </c>
      <c r="H167" s="146"/>
      <c r="I167" s="146"/>
      <c r="J167" s="146">
        <v>1</v>
      </c>
      <c r="K167" s="146"/>
      <c r="L167" s="146"/>
      <c r="M167" s="146">
        <v>1</v>
      </c>
      <c r="N167" s="146">
        <v>1</v>
      </c>
      <c r="O167" s="146"/>
      <c r="P167" s="146">
        <v>1</v>
      </c>
      <c r="Q167" s="146"/>
      <c r="R167" s="146"/>
      <c r="S167" s="146"/>
      <c r="T167" s="146"/>
    </row>
    <row r="168" spans="1:20" x14ac:dyDescent="0.3">
      <c r="A168" s="146" t="s">
        <v>163</v>
      </c>
      <c r="B168" s="146" t="s">
        <v>698</v>
      </c>
      <c r="C168" s="146" t="s">
        <v>2099</v>
      </c>
      <c r="D168" s="146">
        <v>1</v>
      </c>
      <c r="E168" s="146">
        <v>1</v>
      </c>
      <c r="F168" s="146">
        <v>1</v>
      </c>
      <c r="G168" s="146">
        <v>1</v>
      </c>
      <c r="H168" s="146">
        <v>1</v>
      </c>
      <c r="I168" s="146">
        <v>1</v>
      </c>
      <c r="J168" s="146">
        <v>1</v>
      </c>
      <c r="K168" s="146"/>
      <c r="L168" s="146">
        <v>1</v>
      </c>
      <c r="M168" s="146"/>
      <c r="N168" s="146">
        <v>1</v>
      </c>
      <c r="O168" s="146"/>
      <c r="P168" s="146">
        <v>1</v>
      </c>
      <c r="Q168" s="146"/>
      <c r="R168" s="146"/>
      <c r="S168" s="146"/>
      <c r="T168" s="146"/>
    </row>
    <row r="169" spans="1:20" x14ac:dyDescent="0.3">
      <c r="A169" s="146" t="s">
        <v>183</v>
      </c>
      <c r="B169" s="146" t="s">
        <v>1562</v>
      </c>
      <c r="C169" s="146" t="s">
        <v>2099</v>
      </c>
      <c r="D169" s="146">
        <v>1</v>
      </c>
      <c r="E169" s="146">
        <v>1</v>
      </c>
      <c r="F169" s="146"/>
      <c r="G169" s="146">
        <v>1</v>
      </c>
      <c r="H169" s="146">
        <v>1</v>
      </c>
      <c r="I169" s="146">
        <v>1</v>
      </c>
      <c r="J169" s="146">
        <v>1</v>
      </c>
      <c r="K169" s="146"/>
      <c r="L169" s="146"/>
      <c r="M169" s="146"/>
      <c r="N169" s="146">
        <v>1</v>
      </c>
      <c r="O169" s="146"/>
      <c r="P169" s="146">
        <v>1</v>
      </c>
      <c r="Q169" s="146"/>
      <c r="R169" s="146"/>
      <c r="S169" s="146"/>
      <c r="T169" s="146"/>
    </row>
    <row r="170" spans="1:20" x14ac:dyDescent="0.3">
      <c r="A170" s="146" t="s">
        <v>163</v>
      </c>
      <c r="B170" s="146" t="s">
        <v>2176</v>
      </c>
      <c r="C170" s="146" t="s">
        <v>149</v>
      </c>
      <c r="D170" s="146">
        <v>1</v>
      </c>
      <c r="E170" s="146">
        <v>1</v>
      </c>
      <c r="F170" s="146">
        <v>1</v>
      </c>
      <c r="G170" s="146">
        <v>1</v>
      </c>
      <c r="H170" s="146">
        <v>1</v>
      </c>
      <c r="I170" s="146">
        <v>1</v>
      </c>
      <c r="J170" s="146">
        <v>1</v>
      </c>
      <c r="K170" s="146"/>
      <c r="L170" s="146">
        <v>1</v>
      </c>
      <c r="M170" s="146">
        <v>1</v>
      </c>
      <c r="N170" s="146">
        <v>1</v>
      </c>
      <c r="O170" s="146">
        <v>1</v>
      </c>
      <c r="P170" s="146">
        <v>1</v>
      </c>
      <c r="Q170" s="146"/>
      <c r="R170" s="146"/>
      <c r="S170" s="146"/>
      <c r="T170" s="146"/>
    </row>
    <row r="171" spans="1:20" x14ac:dyDescent="0.3">
      <c r="A171" s="146" t="s">
        <v>165</v>
      </c>
      <c r="B171" s="146" t="s">
        <v>207</v>
      </c>
      <c r="C171" s="146" t="s">
        <v>2106</v>
      </c>
      <c r="D171" s="146">
        <v>1</v>
      </c>
      <c r="E171" s="146">
        <v>1</v>
      </c>
      <c r="F171" s="146">
        <v>1</v>
      </c>
      <c r="G171" s="146">
        <v>1</v>
      </c>
      <c r="H171" s="146">
        <v>1</v>
      </c>
      <c r="I171" s="146">
        <v>1</v>
      </c>
      <c r="J171" s="146">
        <v>1</v>
      </c>
      <c r="K171" s="146">
        <v>1</v>
      </c>
      <c r="L171" s="146">
        <v>1</v>
      </c>
      <c r="M171" s="146">
        <v>1</v>
      </c>
      <c r="N171" s="146">
        <v>1</v>
      </c>
      <c r="O171" s="146">
        <v>1</v>
      </c>
      <c r="P171" s="146">
        <v>1</v>
      </c>
      <c r="Q171" s="146">
        <v>1</v>
      </c>
      <c r="R171" s="146"/>
      <c r="S171" s="146"/>
      <c r="T171" s="146"/>
    </row>
    <row r="172" spans="1:20" x14ac:dyDescent="0.3">
      <c r="A172" s="146" t="s">
        <v>174</v>
      </c>
      <c r="B172" s="146" t="s">
        <v>2177</v>
      </c>
      <c r="C172" s="146" t="s">
        <v>2099</v>
      </c>
      <c r="D172" s="146">
        <v>1</v>
      </c>
      <c r="E172" s="146">
        <v>1</v>
      </c>
      <c r="F172" s="146">
        <v>1</v>
      </c>
      <c r="G172" s="146">
        <v>1</v>
      </c>
      <c r="H172" s="146">
        <v>1</v>
      </c>
      <c r="I172" s="146">
        <v>1</v>
      </c>
      <c r="J172" s="146">
        <v>1</v>
      </c>
      <c r="K172" s="146"/>
      <c r="L172" s="146"/>
      <c r="M172" s="146"/>
      <c r="N172" s="146">
        <v>1</v>
      </c>
      <c r="O172" s="146"/>
      <c r="P172" s="146">
        <v>1</v>
      </c>
      <c r="Q172" s="146"/>
      <c r="R172" s="146"/>
      <c r="S172" s="146"/>
      <c r="T172" s="146"/>
    </row>
    <row r="173" spans="1:20" x14ac:dyDescent="0.3">
      <c r="A173" s="146" t="s">
        <v>166</v>
      </c>
      <c r="B173" s="146" t="s">
        <v>772</v>
      </c>
      <c r="C173" s="146" t="s">
        <v>2099</v>
      </c>
      <c r="D173" s="146">
        <v>1</v>
      </c>
      <c r="E173" s="146">
        <v>1</v>
      </c>
      <c r="F173" s="146"/>
      <c r="G173" s="146">
        <v>1</v>
      </c>
      <c r="H173" s="146">
        <v>1</v>
      </c>
      <c r="I173" s="146">
        <v>1</v>
      </c>
      <c r="J173" s="146">
        <v>1</v>
      </c>
      <c r="K173" s="146"/>
      <c r="L173" s="146"/>
      <c r="M173" s="146"/>
      <c r="N173" s="146">
        <v>1</v>
      </c>
      <c r="O173" s="146"/>
      <c r="P173" s="146">
        <v>1</v>
      </c>
      <c r="Q173" s="146"/>
      <c r="R173" s="146"/>
      <c r="S173" s="146"/>
      <c r="T173" s="146"/>
    </row>
    <row r="174" spans="1:20" x14ac:dyDescent="0.3">
      <c r="A174" s="146" t="s">
        <v>155</v>
      </c>
      <c r="B174" s="146" t="s">
        <v>363</v>
      </c>
      <c r="C174" s="146" t="s">
        <v>2099</v>
      </c>
      <c r="D174" s="146">
        <v>1</v>
      </c>
      <c r="E174" s="146">
        <v>1</v>
      </c>
      <c r="F174" s="146">
        <v>1</v>
      </c>
      <c r="G174" s="146">
        <v>1</v>
      </c>
      <c r="H174" s="146">
        <v>1</v>
      </c>
      <c r="I174" s="146">
        <v>1</v>
      </c>
      <c r="J174" s="146">
        <v>1</v>
      </c>
      <c r="K174" s="146"/>
      <c r="L174" s="146">
        <v>1</v>
      </c>
      <c r="M174" s="146"/>
      <c r="N174" s="146">
        <v>1</v>
      </c>
      <c r="O174" s="146"/>
      <c r="P174" s="146">
        <v>1</v>
      </c>
      <c r="Q174" s="146"/>
      <c r="R174" s="146"/>
      <c r="S174" s="146"/>
      <c r="T174" s="146"/>
    </row>
    <row r="175" spans="1:20" x14ac:dyDescent="0.3">
      <c r="A175" s="146" t="s">
        <v>173</v>
      </c>
      <c r="B175" s="146" t="s">
        <v>1042</v>
      </c>
      <c r="C175" s="146" t="s">
        <v>2099</v>
      </c>
      <c r="D175" s="146">
        <v>1</v>
      </c>
      <c r="E175" s="146">
        <v>1</v>
      </c>
      <c r="F175" s="146"/>
      <c r="G175" s="146">
        <v>1</v>
      </c>
      <c r="H175" s="146"/>
      <c r="I175" s="146"/>
      <c r="J175" s="146"/>
      <c r="K175" s="146"/>
      <c r="L175" s="146"/>
      <c r="M175" s="146"/>
      <c r="N175" s="146">
        <v>1</v>
      </c>
      <c r="O175" s="146"/>
      <c r="P175" s="146">
        <v>1</v>
      </c>
      <c r="Q175" s="146"/>
      <c r="R175" s="146">
        <v>1</v>
      </c>
      <c r="S175" s="146"/>
      <c r="T175" s="146"/>
    </row>
    <row r="176" spans="1:20" x14ac:dyDescent="0.3">
      <c r="A176" s="146" t="s">
        <v>170</v>
      </c>
      <c r="B176" s="146" t="s">
        <v>955</v>
      </c>
      <c r="C176" s="146" t="s">
        <v>2099</v>
      </c>
      <c r="D176" s="146">
        <v>1</v>
      </c>
      <c r="E176" s="146">
        <v>1</v>
      </c>
      <c r="F176" s="146"/>
      <c r="G176" s="146">
        <v>1</v>
      </c>
      <c r="H176" s="146">
        <v>1</v>
      </c>
      <c r="I176" s="146">
        <v>1</v>
      </c>
      <c r="J176" s="146">
        <v>1</v>
      </c>
      <c r="K176" s="146">
        <v>1</v>
      </c>
      <c r="L176" s="146">
        <v>1</v>
      </c>
      <c r="M176" s="146"/>
      <c r="N176" s="146">
        <v>1</v>
      </c>
      <c r="O176" s="146"/>
      <c r="P176" s="146">
        <v>1</v>
      </c>
      <c r="Q176" s="146"/>
      <c r="R176" s="146"/>
      <c r="S176" s="146"/>
      <c r="T176" s="146"/>
    </row>
    <row r="177" spans="1:20" x14ac:dyDescent="0.3">
      <c r="A177" s="146" t="s">
        <v>177</v>
      </c>
      <c r="B177" s="146" t="s">
        <v>1225</v>
      </c>
      <c r="C177" s="146" t="s">
        <v>2102</v>
      </c>
      <c r="D177" s="146">
        <v>1</v>
      </c>
      <c r="E177" s="146"/>
      <c r="F177" s="146"/>
      <c r="G177" s="146">
        <v>1</v>
      </c>
      <c r="H177" s="146"/>
      <c r="I177" s="146"/>
      <c r="J177" s="146"/>
      <c r="K177" s="146"/>
      <c r="L177" s="146"/>
      <c r="M177" s="146"/>
      <c r="N177" s="146">
        <v>1</v>
      </c>
      <c r="O177" s="146"/>
      <c r="P177" s="146">
        <v>1</v>
      </c>
      <c r="Q177" s="146"/>
      <c r="R177" s="146"/>
      <c r="S177" s="146"/>
      <c r="T177" s="146"/>
    </row>
    <row r="178" spans="1:20" x14ac:dyDescent="0.3">
      <c r="A178" s="146" t="s">
        <v>164</v>
      </c>
      <c r="B178" s="146" t="s">
        <v>665</v>
      </c>
      <c r="C178" s="146" t="s">
        <v>2099</v>
      </c>
      <c r="D178" s="146">
        <v>1</v>
      </c>
      <c r="E178" s="146"/>
      <c r="F178" s="146"/>
      <c r="G178" s="146">
        <v>1</v>
      </c>
      <c r="H178" s="146"/>
      <c r="I178" s="146">
        <v>1</v>
      </c>
      <c r="J178" s="146">
        <v>1</v>
      </c>
      <c r="K178" s="146"/>
      <c r="L178" s="146"/>
      <c r="M178" s="146"/>
      <c r="N178" s="146">
        <v>1</v>
      </c>
      <c r="O178" s="146"/>
      <c r="P178" s="146">
        <v>1</v>
      </c>
      <c r="Q178" s="146"/>
      <c r="R178" s="146">
        <v>1</v>
      </c>
      <c r="S178" s="146"/>
      <c r="T178" s="146"/>
    </row>
    <row r="179" spans="1:20" x14ac:dyDescent="0.3">
      <c r="A179" s="146" t="s">
        <v>200</v>
      </c>
      <c r="B179" s="146" t="s">
        <v>2178</v>
      </c>
      <c r="C179" s="146" t="s">
        <v>149</v>
      </c>
      <c r="D179" s="146">
        <v>1</v>
      </c>
      <c r="E179" s="146">
        <v>1</v>
      </c>
      <c r="F179" s="146">
        <v>1</v>
      </c>
      <c r="G179" s="146">
        <v>1</v>
      </c>
      <c r="H179" s="146">
        <v>1</v>
      </c>
      <c r="I179" s="146">
        <v>1</v>
      </c>
      <c r="J179" s="146">
        <v>1</v>
      </c>
      <c r="K179" s="146">
        <v>1</v>
      </c>
      <c r="L179" s="146">
        <v>1</v>
      </c>
      <c r="M179" s="146">
        <v>1</v>
      </c>
      <c r="N179" s="146">
        <v>1</v>
      </c>
      <c r="O179" s="146">
        <v>1</v>
      </c>
      <c r="P179" s="146">
        <v>1</v>
      </c>
      <c r="Q179" s="146"/>
      <c r="R179" s="146"/>
      <c r="S179" s="146"/>
      <c r="T179" s="146"/>
    </row>
    <row r="180" spans="1:20" x14ac:dyDescent="0.3">
      <c r="A180" s="146" t="s">
        <v>158</v>
      </c>
      <c r="B180" s="146" t="s">
        <v>2179</v>
      </c>
      <c r="C180" s="146" t="s">
        <v>2102</v>
      </c>
      <c r="D180" s="146">
        <v>1</v>
      </c>
      <c r="E180" s="146">
        <v>1</v>
      </c>
      <c r="F180" s="146"/>
      <c r="G180" s="146">
        <v>1</v>
      </c>
      <c r="H180" s="146">
        <v>1</v>
      </c>
      <c r="I180" s="146">
        <v>1</v>
      </c>
      <c r="J180" s="146"/>
      <c r="K180" s="146"/>
      <c r="L180" s="146"/>
      <c r="M180" s="146"/>
      <c r="N180" s="146">
        <v>1</v>
      </c>
      <c r="O180" s="146"/>
      <c r="P180" s="146">
        <v>1</v>
      </c>
      <c r="Q180" s="146"/>
      <c r="R180" s="146"/>
      <c r="S180" s="146"/>
      <c r="T180" s="146"/>
    </row>
    <row r="181" spans="1:20" x14ac:dyDescent="0.3">
      <c r="A181" s="146" t="s">
        <v>200</v>
      </c>
      <c r="B181" s="146" t="s">
        <v>2180</v>
      </c>
      <c r="C181" s="146" t="s">
        <v>2099</v>
      </c>
      <c r="D181" s="146">
        <v>1</v>
      </c>
      <c r="E181" s="146">
        <v>1</v>
      </c>
      <c r="F181" s="146"/>
      <c r="G181" s="146">
        <v>1</v>
      </c>
      <c r="H181" s="146">
        <v>1</v>
      </c>
      <c r="I181" s="146"/>
      <c r="J181" s="146">
        <v>1</v>
      </c>
      <c r="K181" s="146"/>
      <c r="L181" s="146">
        <v>1</v>
      </c>
      <c r="M181" s="146"/>
      <c r="N181" s="146">
        <v>1</v>
      </c>
      <c r="O181" s="146"/>
      <c r="P181" s="146">
        <v>1</v>
      </c>
      <c r="Q181" s="146"/>
      <c r="R181" s="146"/>
      <c r="S181" s="146"/>
      <c r="T181" s="146"/>
    </row>
    <row r="182" spans="1:20" x14ac:dyDescent="0.3">
      <c r="A182" s="146" t="s">
        <v>174</v>
      </c>
      <c r="B182" s="146" t="s">
        <v>1107</v>
      </c>
      <c r="C182" s="146" t="s">
        <v>2099</v>
      </c>
      <c r="D182" s="146">
        <v>1</v>
      </c>
      <c r="E182" s="146">
        <v>1</v>
      </c>
      <c r="F182" s="146"/>
      <c r="G182" s="146">
        <v>1</v>
      </c>
      <c r="H182" s="146">
        <v>1</v>
      </c>
      <c r="I182" s="146">
        <v>1</v>
      </c>
      <c r="J182" s="146"/>
      <c r="K182" s="146"/>
      <c r="L182" s="146"/>
      <c r="M182" s="146"/>
      <c r="N182" s="146">
        <v>1</v>
      </c>
      <c r="O182" s="146"/>
      <c r="P182" s="146">
        <v>1</v>
      </c>
      <c r="Q182" s="146"/>
      <c r="R182" s="146"/>
      <c r="S182" s="146"/>
      <c r="T182" s="146"/>
    </row>
    <row r="183" spans="1:20" x14ac:dyDescent="0.3">
      <c r="A183" s="146" t="s">
        <v>167</v>
      </c>
      <c r="B183" s="146" t="s">
        <v>785</v>
      </c>
      <c r="C183" s="146" t="s">
        <v>2106</v>
      </c>
      <c r="D183" s="146">
        <v>1</v>
      </c>
      <c r="E183" s="146">
        <v>1</v>
      </c>
      <c r="F183" s="146">
        <v>1</v>
      </c>
      <c r="G183" s="146">
        <v>1</v>
      </c>
      <c r="H183" s="146">
        <v>1</v>
      </c>
      <c r="I183" s="146">
        <v>1</v>
      </c>
      <c r="J183" s="146">
        <v>1</v>
      </c>
      <c r="K183" s="146">
        <v>1</v>
      </c>
      <c r="L183" s="146">
        <v>1</v>
      </c>
      <c r="M183" s="146">
        <v>1</v>
      </c>
      <c r="N183" s="146">
        <v>1</v>
      </c>
      <c r="O183" s="146">
        <v>1</v>
      </c>
      <c r="P183" s="146">
        <v>1</v>
      </c>
      <c r="Q183" s="146">
        <v>1</v>
      </c>
      <c r="R183" s="146"/>
      <c r="S183" s="146"/>
      <c r="T183" s="146"/>
    </row>
    <row r="184" spans="1:20" x14ac:dyDescent="0.3">
      <c r="A184" s="146" t="s">
        <v>168</v>
      </c>
      <c r="B184" s="146" t="s">
        <v>825</v>
      </c>
      <c r="C184" s="146" t="s">
        <v>2106</v>
      </c>
      <c r="D184" s="146">
        <v>1</v>
      </c>
      <c r="E184" s="146">
        <v>1</v>
      </c>
      <c r="F184" s="146">
        <v>1</v>
      </c>
      <c r="G184" s="146">
        <v>1</v>
      </c>
      <c r="H184" s="146">
        <v>1</v>
      </c>
      <c r="I184" s="146">
        <v>1</v>
      </c>
      <c r="J184" s="146">
        <v>1</v>
      </c>
      <c r="K184" s="146">
        <v>1</v>
      </c>
      <c r="L184" s="146">
        <v>1</v>
      </c>
      <c r="M184" s="146"/>
      <c r="N184" s="146">
        <v>1</v>
      </c>
      <c r="O184" s="146"/>
      <c r="P184" s="146">
        <v>1</v>
      </c>
      <c r="Q184" s="146"/>
      <c r="R184" s="146"/>
      <c r="S184" s="146"/>
      <c r="T184" s="146"/>
    </row>
    <row r="185" spans="1:20" x14ac:dyDescent="0.3">
      <c r="A185" s="146" t="s">
        <v>191</v>
      </c>
      <c r="B185" s="146" t="s">
        <v>1779</v>
      </c>
      <c r="C185" s="146" t="s">
        <v>2106</v>
      </c>
      <c r="D185" s="146">
        <v>1</v>
      </c>
      <c r="E185" s="146">
        <v>1</v>
      </c>
      <c r="F185" s="146">
        <v>1</v>
      </c>
      <c r="G185" s="146">
        <v>1</v>
      </c>
      <c r="H185" s="146">
        <v>1</v>
      </c>
      <c r="I185" s="146">
        <v>1</v>
      </c>
      <c r="J185" s="146">
        <v>1</v>
      </c>
      <c r="K185" s="146">
        <v>1</v>
      </c>
      <c r="L185" s="146">
        <v>1</v>
      </c>
      <c r="M185" s="146">
        <v>1</v>
      </c>
      <c r="N185" s="146">
        <v>1</v>
      </c>
      <c r="O185" s="146"/>
      <c r="P185" s="146">
        <v>1</v>
      </c>
      <c r="Q185" s="146"/>
      <c r="R185" s="146"/>
      <c r="S185" s="146"/>
      <c r="T185" s="146"/>
    </row>
    <row r="186" spans="1:20" x14ac:dyDescent="0.3">
      <c r="A186" s="146" t="s">
        <v>162</v>
      </c>
      <c r="B186" s="146" t="s">
        <v>585</v>
      </c>
      <c r="C186" s="146" t="s">
        <v>2099</v>
      </c>
      <c r="D186" s="146">
        <v>1</v>
      </c>
      <c r="E186" s="146">
        <v>1</v>
      </c>
      <c r="F186" s="146">
        <v>1</v>
      </c>
      <c r="G186" s="146">
        <v>1</v>
      </c>
      <c r="H186" s="146">
        <v>1</v>
      </c>
      <c r="I186" s="146">
        <v>1</v>
      </c>
      <c r="J186" s="146">
        <v>1</v>
      </c>
      <c r="K186" s="146"/>
      <c r="L186" s="146"/>
      <c r="M186" s="146"/>
      <c r="N186" s="146">
        <v>1</v>
      </c>
      <c r="O186" s="146"/>
      <c r="P186" s="146">
        <v>1</v>
      </c>
      <c r="Q186" s="146"/>
      <c r="R186" s="146"/>
      <c r="S186" s="146"/>
      <c r="T186" s="146"/>
    </row>
    <row r="187" spans="1:20" x14ac:dyDescent="0.3">
      <c r="A187" s="146" t="s">
        <v>158</v>
      </c>
      <c r="B187" s="146" t="s">
        <v>2181</v>
      </c>
      <c r="C187" s="146" t="s">
        <v>2102</v>
      </c>
      <c r="D187" s="146">
        <v>1</v>
      </c>
      <c r="E187" s="146"/>
      <c r="F187" s="146"/>
      <c r="G187" s="146">
        <v>1</v>
      </c>
      <c r="H187" s="146"/>
      <c r="I187" s="146"/>
      <c r="J187" s="146"/>
      <c r="K187" s="146"/>
      <c r="L187" s="146"/>
      <c r="M187" s="146"/>
      <c r="N187" s="146">
        <v>1</v>
      </c>
      <c r="O187" s="146"/>
      <c r="P187" s="146">
        <v>1</v>
      </c>
      <c r="Q187" s="146"/>
      <c r="R187" s="146"/>
      <c r="S187" s="146"/>
      <c r="T187" s="146"/>
    </row>
    <row r="188" spans="1:20" x14ac:dyDescent="0.3">
      <c r="A188" s="146" t="s">
        <v>169</v>
      </c>
      <c r="B188" s="146" t="s">
        <v>899</v>
      </c>
      <c r="C188" s="146" t="s">
        <v>2106</v>
      </c>
      <c r="D188" s="146">
        <v>1</v>
      </c>
      <c r="E188" s="146">
        <v>1</v>
      </c>
      <c r="F188" s="146">
        <v>1</v>
      </c>
      <c r="G188" s="146">
        <v>1</v>
      </c>
      <c r="H188" s="146">
        <v>1</v>
      </c>
      <c r="I188" s="146">
        <v>1</v>
      </c>
      <c r="J188" s="146">
        <v>1</v>
      </c>
      <c r="K188" s="146">
        <v>1</v>
      </c>
      <c r="L188" s="146"/>
      <c r="M188" s="146">
        <v>1</v>
      </c>
      <c r="N188" s="146">
        <v>1</v>
      </c>
      <c r="O188" s="146">
        <v>1</v>
      </c>
      <c r="P188" s="146">
        <v>1</v>
      </c>
      <c r="Q188" s="146"/>
      <c r="R188" s="146"/>
      <c r="S188" s="146"/>
      <c r="T188" s="146"/>
    </row>
    <row r="189" spans="1:20" x14ac:dyDescent="0.3">
      <c r="A189" s="146" t="s">
        <v>173</v>
      </c>
      <c r="B189" s="146" t="s">
        <v>2182</v>
      </c>
      <c r="C189" s="146" t="s">
        <v>2102</v>
      </c>
      <c r="D189" s="146">
        <v>1</v>
      </c>
      <c r="E189" s="146"/>
      <c r="F189" s="146"/>
      <c r="G189" s="146">
        <v>1</v>
      </c>
      <c r="H189" s="146"/>
      <c r="I189" s="146"/>
      <c r="J189" s="146"/>
      <c r="K189" s="146"/>
      <c r="L189" s="146"/>
      <c r="M189" s="146"/>
      <c r="N189" s="146">
        <v>1</v>
      </c>
      <c r="O189" s="146"/>
      <c r="P189" s="146">
        <v>1</v>
      </c>
      <c r="Q189" s="146"/>
      <c r="R189" s="146"/>
      <c r="S189" s="146"/>
      <c r="T189" s="146"/>
    </row>
    <row r="190" spans="1:20" x14ac:dyDescent="0.3">
      <c r="A190" s="146" t="s">
        <v>157</v>
      </c>
      <c r="B190" s="146" t="s">
        <v>437</v>
      </c>
      <c r="C190" s="146" t="s">
        <v>2099</v>
      </c>
      <c r="D190" s="146">
        <v>1</v>
      </c>
      <c r="E190" s="146">
        <v>1</v>
      </c>
      <c r="F190" s="146"/>
      <c r="G190" s="146">
        <v>1</v>
      </c>
      <c r="H190" s="146">
        <v>1</v>
      </c>
      <c r="I190" s="146">
        <v>1</v>
      </c>
      <c r="J190" s="146"/>
      <c r="K190" s="146"/>
      <c r="L190" s="146"/>
      <c r="M190" s="146"/>
      <c r="N190" s="146">
        <v>1</v>
      </c>
      <c r="O190" s="146"/>
      <c r="P190" s="146">
        <v>1</v>
      </c>
      <c r="Q190" s="146"/>
      <c r="R190" s="146"/>
      <c r="S190" s="146"/>
      <c r="T190" s="146"/>
    </row>
    <row r="191" spans="1:20" x14ac:dyDescent="0.3">
      <c r="A191" s="146" t="s">
        <v>154</v>
      </c>
      <c r="B191" s="146" t="s">
        <v>2183</v>
      </c>
      <c r="C191" s="146" t="s">
        <v>2102</v>
      </c>
      <c r="D191" s="146">
        <v>1</v>
      </c>
      <c r="E191" s="146">
        <v>1</v>
      </c>
      <c r="F191" s="146"/>
      <c r="G191" s="146">
        <v>1</v>
      </c>
      <c r="H191" s="146">
        <v>1</v>
      </c>
      <c r="I191" s="146">
        <v>1</v>
      </c>
      <c r="J191" s="146"/>
      <c r="K191" s="146"/>
      <c r="L191" s="146"/>
      <c r="M191" s="146"/>
      <c r="N191" s="146">
        <v>1</v>
      </c>
      <c r="O191" s="146"/>
      <c r="P191" s="146">
        <v>1</v>
      </c>
      <c r="Q191" s="146"/>
      <c r="R191" s="146"/>
      <c r="S191" s="146"/>
      <c r="T191" s="146"/>
    </row>
    <row r="192" spans="1:20" x14ac:dyDescent="0.3">
      <c r="A192" s="146" t="s">
        <v>168</v>
      </c>
      <c r="B192" s="146" t="s">
        <v>826</v>
      </c>
      <c r="C192" s="146" t="s">
        <v>2099</v>
      </c>
      <c r="D192" s="146">
        <v>1</v>
      </c>
      <c r="E192" s="146">
        <v>1</v>
      </c>
      <c r="F192" s="146"/>
      <c r="G192" s="146">
        <v>1</v>
      </c>
      <c r="H192" s="146"/>
      <c r="I192" s="146"/>
      <c r="J192" s="146">
        <v>1</v>
      </c>
      <c r="K192" s="146"/>
      <c r="L192" s="146">
        <v>1</v>
      </c>
      <c r="M192" s="146"/>
      <c r="N192" s="146">
        <v>1</v>
      </c>
      <c r="O192" s="146"/>
      <c r="P192" s="146">
        <v>1</v>
      </c>
      <c r="Q192" s="146"/>
      <c r="R192" s="146">
        <v>1</v>
      </c>
      <c r="S192" s="146"/>
      <c r="T192" s="146"/>
    </row>
    <row r="193" spans="1:20" x14ac:dyDescent="0.3">
      <c r="A193" s="146" t="s">
        <v>153</v>
      </c>
      <c r="B193" s="146" t="s">
        <v>2184</v>
      </c>
      <c r="C193" s="146" t="s">
        <v>2102</v>
      </c>
      <c r="D193" s="146">
        <v>1</v>
      </c>
      <c r="E193" s="146"/>
      <c r="F193" s="146"/>
      <c r="G193" s="146">
        <v>1</v>
      </c>
      <c r="H193" s="146">
        <v>1</v>
      </c>
      <c r="I193" s="146">
        <v>1</v>
      </c>
      <c r="J193" s="146"/>
      <c r="K193" s="146"/>
      <c r="L193" s="146"/>
      <c r="M193" s="146"/>
      <c r="N193" s="146">
        <v>1</v>
      </c>
      <c r="O193" s="146"/>
      <c r="P193" s="146">
        <v>1</v>
      </c>
      <c r="Q193" s="146"/>
      <c r="R193" s="146"/>
      <c r="S193" s="146"/>
      <c r="T193" s="146"/>
    </row>
    <row r="194" spans="1:20" x14ac:dyDescent="0.3">
      <c r="A194" s="146" t="s">
        <v>180</v>
      </c>
      <c r="B194" s="146" t="s">
        <v>2185</v>
      </c>
      <c r="C194" s="146" t="s">
        <v>2102</v>
      </c>
      <c r="D194" s="146">
        <v>1</v>
      </c>
      <c r="E194" s="146"/>
      <c r="F194" s="146"/>
      <c r="G194" s="146">
        <v>1</v>
      </c>
      <c r="H194" s="146"/>
      <c r="I194" s="146"/>
      <c r="J194" s="146"/>
      <c r="K194" s="146"/>
      <c r="L194" s="146"/>
      <c r="M194" s="146"/>
      <c r="N194" s="146">
        <v>1</v>
      </c>
      <c r="O194" s="146"/>
      <c r="P194" s="146">
        <v>1</v>
      </c>
      <c r="Q194" s="146"/>
      <c r="R194" s="146"/>
      <c r="S194" s="146"/>
      <c r="T194" s="146"/>
    </row>
    <row r="195" spans="1:20" x14ac:dyDescent="0.3">
      <c r="A195" s="146" t="s">
        <v>170</v>
      </c>
      <c r="B195" s="146" t="s">
        <v>956</v>
      </c>
      <c r="C195" s="146" t="s">
        <v>2099</v>
      </c>
      <c r="D195" s="146">
        <v>1</v>
      </c>
      <c r="E195" s="146">
        <v>1</v>
      </c>
      <c r="F195" s="146"/>
      <c r="G195" s="146">
        <v>1</v>
      </c>
      <c r="H195" s="146">
        <v>1</v>
      </c>
      <c r="I195" s="146">
        <v>1</v>
      </c>
      <c r="J195" s="146">
        <v>1</v>
      </c>
      <c r="K195" s="146"/>
      <c r="L195" s="146"/>
      <c r="M195" s="146"/>
      <c r="N195" s="146">
        <v>1</v>
      </c>
      <c r="O195" s="146"/>
      <c r="P195" s="146">
        <v>1</v>
      </c>
      <c r="Q195" s="146"/>
      <c r="R195" s="146"/>
      <c r="S195" s="146"/>
      <c r="T195" s="146"/>
    </row>
    <row r="196" spans="1:20" x14ac:dyDescent="0.3">
      <c r="A196" s="146" t="s">
        <v>191</v>
      </c>
      <c r="B196" s="146" t="s">
        <v>1785</v>
      </c>
      <c r="C196" s="146" t="s">
        <v>2099</v>
      </c>
      <c r="D196" s="146">
        <v>1</v>
      </c>
      <c r="E196" s="146">
        <v>1</v>
      </c>
      <c r="F196" s="146"/>
      <c r="G196" s="146">
        <v>1</v>
      </c>
      <c r="H196" s="146">
        <v>1</v>
      </c>
      <c r="I196" s="146">
        <v>1</v>
      </c>
      <c r="J196" s="146"/>
      <c r="K196" s="146"/>
      <c r="L196" s="146"/>
      <c r="M196" s="146"/>
      <c r="N196" s="146">
        <v>1</v>
      </c>
      <c r="O196" s="146"/>
      <c r="P196" s="146">
        <v>1</v>
      </c>
      <c r="Q196" s="146"/>
      <c r="R196" s="146"/>
      <c r="S196" s="146"/>
      <c r="T196" s="146"/>
    </row>
    <row r="197" spans="1:20" x14ac:dyDescent="0.3">
      <c r="A197" s="146" t="s">
        <v>173</v>
      </c>
      <c r="B197" s="146" t="s">
        <v>2186</v>
      </c>
      <c r="C197" s="146" t="s">
        <v>2102</v>
      </c>
      <c r="D197" s="146">
        <v>1</v>
      </c>
      <c r="E197" s="146"/>
      <c r="F197" s="146"/>
      <c r="G197" s="146">
        <v>1</v>
      </c>
      <c r="H197" s="146"/>
      <c r="I197" s="146"/>
      <c r="J197" s="146"/>
      <c r="K197" s="146"/>
      <c r="L197" s="146"/>
      <c r="M197" s="146"/>
      <c r="N197" s="146">
        <v>1</v>
      </c>
      <c r="O197" s="146"/>
      <c r="P197" s="146">
        <v>1</v>
      </c>
      <c r="Q197" s="146"/>
      <c r="R197" s="146"/>
      <c r="S197" s="146"/>
      <c r="T197" s="146"/>
    </row>
    <row r="198" spans="1:20" x14ac:dyDescent="0.3">
      <c r="A198" s="146" t="s">
        <v>169</v>
      </c>
      <c r="B198" s="146" t="s">
        <v>900</v>
      </c>
      <c r="C198" s="146" t="s">
        <v>2099</v>
      </c>
      <c r="D198" s="146">
        <v>1</v>
      </c>
      <c r="E198" s="146"/>
      <c r="F198" s="146"/>
      <c r="G198" s="146">
        <v>1</v>
      </c>
      <c r="H198" s="146"/>
      <c r="I198" s="146">
        <v>1</v>
      </c>
      <c r="J198" s="146"/>
      <c r="K198" s="146"/>
      <c r="L198" s="146"/>
      <c r="M198" s="146"/>
      <c r="N198" s="146">
        <v>1</v>
      </c>
      <c r="O198" s="146"/>
      <c r="P198" s="146">
        <v>1</v>
      </c>
      <c r="Q198" s="146"/>
      <c r="R198" s="146">
        <v>1</v>
      </c>
      <c r="S198" s="146"/>
      <c r="T198" s="146"/>
    </row>
    <row r="199" spans="1:20" x14ac:dyDescent="0.3">
      <c r="A199" s="146" t="s">
        <v>180</v>
      </c>
      <c r="B199" s="146" t="s">
        <v>1431</v>
      </c>
      <c r="C199" s="146" t="s">
        <v>2099</v>
      </c>
      <c r="D199" s="146">
        <v>1</v>
      </c>
      <c r="E199" s="146"/>
      <c r="F199" s="146"/>
      <c r="G199" s="146">
        <v>1</v>
      </c>
      <c r="H199" s="146"/>
      <c r="I199" s="146"/>
      <c r="J199" s="146"/>
      <c r="K199" s="146"/>
      <c r="L199" s="146"/>
      <c r="M199" s="146"/>
      <c r="N199" s="146">
        <v>1</v>
      </c>
      <c r="O199" s="146"/>
      <c r="P199" s="146">
        <v>1</v>
      </c>
      <c r="Q199" s="146"/>
      <c r="R199" s="146"/>
      <c r="S199" s="146"/>
      <c r="T199" s="146"/>
    </row>
    <row r="200" spans="1:20" x14ac:dyDescent="0.3">
      <c r="A200" s="146" t="s">
        <v>199</v>
      </c>
      <c r="B200" s="146" t="s">
        <v>2187</v>
      </c>
      <c r="C200" s="146" t="s">
        <v>2099</v>
      </c>
      <c r="D200" s="146">
        <v>1</v>
      </c>
      <c r="E200" s="146"/>
      <c r="F200" s="146"/>
      <c r="G200" s="146">
        <v>1</v>
      </c>
      <c r="H200" s="146"/>
      <c r="I200" s="146"/>
      <c r="J200" s="146"/>
      <c r="K200" s="146"/>
      <c r="L200" s="146"/>
      <c r="M200" s="146"/>
      <c r="N200" s="146">
        <v>1</v>
      </c>
      <c r="O200" s="146"/>
      <c r="P200" s="146">
        <v>1</v>
      </c>
      <c r="Q200" s="146"/>
      <c r="R200" s="146"/>
      <c r="S200" s="146"/>
      <c r="T200" s="146"/>
    </row>
    <row r="201" spans="1:20" x14ac:dyDescent="0.3">
      <c r="A201" s="146" t="s">
        <v>163</v>
      </c>
      <c r="B201" s="146" t="s">
        <v>2188</v>
      </c>
      <c r="C201" s="146" t="s">
        <v>2099</v>
      </c>
      <c r="D201" s="146">
        <v>1</v>
      </c>
      <c r="E201" s="146"/>
      <c r="F201" s="146"/>
      <c r="G201" s="146">
        <v>1</v>
      </c>
      <c r="H201" s="146"/>
      <c r="I201" s="146"/>
      <c r="J201" s="146">
        <v>1</v>
      </c>
      <c r="K201" s="146"/>
      <c r="L201" s="146"/>
      <c r="M201" s="146"/>
      <c r="N201" s="146">
        <v>1</v>
      </c>
      <c r="O201" s="146"/>
      <c r="P201" s="146">
        <v>1</v>
      </c>
      <c r="Q201" s="146"/>
      <c r="R201" s="146"/>
      <c r="S201" s="146"/>
      <c r="T201" s="146"/>
    </row>
    <row r="202" spans="1:20" x14ac:dyDescent="0.3">
      <c r="A202" s="146" t="s">
        <v>181</v>
      </c>
      <c r="B202" s="146" t="s">
        <v>2189</v>
      </c>
      <c r="C202" s="146" t="s">
        <v>2102</v>
      </c>
      <c r="D202" s="146">
        <v>1</v>
      </c>
      <c r="E202" s="146"/>
      <c r="F202" s="146"/>
      <c r="G202" s="146">
        <v>1</v>
      </c>
      <c r="H202" s="146"/>
      <c r="I202" s="146"/>
      <c r="J202" s="146"/>
      <c r="K202" s="146"/>
      <c r="L202" s="146"/>
      <c r="M202" s="146"/>
      <c r="N202" s="146">
        <v>1</v>
      </c>
      <c r="O202" s="146"/>
      <c r="P202" s="146">
        <v>1</v>
      </c>
      <c r="Q202" s="146"/>
      <c r="R202" s="146"/>
      <c r="S202" s="146"/>
      <c r="T202" s="146"/>
    </row>
    <row r="203" spans="1:20" x14ac:dyDescent="0.3">
      <c r="A203" s="146" t="s">
        <v>179</v>
      </c>
      <c r="B203" s="146" t="s">
        <v>1327</v>
      </c>
      <c r="C203" s="146" t="s">
        <v>2099</v>
      </c>
      <c r="D203" s="146">
        <v>1</v>
      </c>
      <c r="E203" s="146"/>
      <c r="F203" s="146"/>
      <c r="G203" s="146">
        <v>1</v>
      </c>
      <c r="H203" s="146"/>
      <c r="I203" s="146"/>
      <c r="J203" s="146">
        <v>1</v>
      </c>
      <c r="K203" s="146"/>
      <c r="L203" s="146">
        <v>1</v>
      </c>
      <c r="M203" s="146"/>
      <c r="N203" s="146">
        <v>1</v>
      </c>
      <c r="O203" s="146"/>
      <c r="P203" s="146">
        <v>1</v>
      </c>
      <c r="Q203" s="146"/>
      <c r="R203" s="146"/>
      <c r="S203" s="146"/>
      <c r="T203" s="146"/>
    </row>
    <row r="204" spans="1:20" x14ac:dyDescent="0.3">
      <c r="A204" s="146" t="s">
        <v>198</v>
      </c>
      <c r="B204" s="146" t="s">
        <v>615</v>
      </c>
      <c r="C204" s="146" t="s">
        <v>2099</v>
      </c>
      <c r="D204" s="146">
        <v>1</v>
      </c>
      <c r="E204" s="146">
        <v>1</v>
      </c>
      <c r="F204" s="146"/>
      <c r="G204" s="146">
        <v>1</v>
      </c>
      <c r="H204" s="146">
        <v>1</v>
      </c>
      <c r="I204" s="146">
        <v>1</v>
      </c>
      <c r="J204" s="146">
        <v>1</v>
      </c>
      <c r="K204" s="146"/>
      <c r="L204" s="146"/>
      <c r="M204" s="146"/>
      <c r="N204" s="146">
        <v>1</v>
      </c>
      <c r="O204" s="146"/>
      <c r="P204" s="146">
        <v>1</v>
      </c>
      <c r="Q204" s="146"/>
      <c r="R204" s="146"/>
      <c r="S204" s="146"/>
      <c r="T204" s="146"/>
    </row>
    <row r="205" spans="1:20" x14ac:dyDescent="0.3">
      <c r="A205" s="146" t="s">
        <v>162</v>
      </c>
      <c r="B205" s="146" t="s">
        <v>586</v>
      </c>
      <c r="C205" s="146" t="s">
        <v>2099</v>
      </c>
      <c r="D205" s="146">
        <v>1</v>
      </c>
      <c r="E205" s="146">
        <v>1</v>
      </c>
      <c r="F205" s="146">
        <v>1</v>
      </c>
      <c r="G205" s="146">
        <v>1</v>
      </c>
      <c r="H205" s="146">
        <v>1</v>
      </c>
      <c r="I205" s="146">
        <v>1</v>
      </c>
      <c r="J205" s="146">
        <v>1</v>
      </c>
      <c r="K205" s="146"/>
      <c r="L205" s="146"/>
      <c r="M205" s="146"/>
      <c r="N205" s="146">
        <v>1</v>
      </c>
      <c r="O205" s="146"/>
      <c r="P205" s="146">
        <v>1</v>
      </c>
      <c r="Q205" s="146"/>
      <c r="R205" s="146"/>
      <c r="S205" s="146"/>
      <c r="T205" s="146"/>
    </row>
    <row r="206" spans="1:20" x14ac:dyDescent="0.3">
      <c r="A206" s="146" t="s">
        <v>182</v>
      </c>
      <c r="B206" s="146" t="s">
        <v>1540</v>
      </c>
      <c r="C206" s="146" t="s">
        <v>2099</v>
      </c>
      <c r="D206" s="146">
        <v>1</v>
      </c>
      <c r="E206" s="146">
        <v>1</v>
      </c>
      <c r="F206" s="146"/>
      <c r="G206" s="146">
        <v>1</v>
      </c>
      <c r="H206" s="146">
        <v>1</v>
      </c>
      <c r="I206" s="146">
        <v>1</v>
      </c>
      <c r="J206" s="146">
        <v>1</v>
      </c>
      <c r="K206" s="146"/>
      <c r="L206" s="146"/>
      <c r="M206" s="146"/>
      <c r="N206" s="146">
        <v>1</v>
      </c>
      <c r="O206" s="146"/>
      <c r="P206" s="146">
        <v>1</v>
      </c>
      <c r="Q206" s="146"/>
      <c r="R206" s="146"/>
      <c r="S206" s="146"/>
      <c r="T206" s="146"/>
    </row>
    <row r="207" spans="1:20" x14ac:dyDescent="0.3">
      <c r="A207" s="146" t="s">
        <v>164</v>
      </c>
      <c r="B207" s="146" t="s">
        <v>666</v>
      </c>
      <c r="C207" s="146" t="s">
        <v>2099</v>
      </c>
      <c r="D207" s="146">
        <v>1</v>
      </c>
      <c r="E207" s="146">
        <v>1</v>
      </c>
      <c r="F207" s="146"/>
      <c r="G207" s="146">
        <v>1</v>
      </c>
      <c r="H207" s="146">
        <v>1</v>
      </c>
      <c r="I207" s="146">
        <v>1</v>
      </c>
      <c r="J207" s="146">
        <v>1</v>
      </c>
      <c r="K207" s="146"/>
      <c r="L207" s="146"/>
      <c r="M207" s="146"/>
      <c r="N207" s="146">
        <v>1</v>
      </c>
      <c r="O207" s="146"/>
      <c r="P207" s="146">
        <v>1</v>
      </c>
      <c r="Q207" s="146"/>
      <c r="R207" s="146"/>
      <c r="S207" s="146"/>
      <c r="T207" s="146"/>
    </row>
    <row r="208" spans="1:20" x14ac:dyDescent="0.3">
      <c r="A208" s="146" t="s">
        <v>154</v>
      </c>
      <c r="B208" s="146" t="s">
        <v>327</v>
      </c>
      <c r="C208" s="146" t="s">
        <v>2106</v>
      </c>
      <c r="D208" s="146">
        <v>1</v>
      </c>
      <c r="E208" s="146">
        <v>1</v>
      </c>
      <c r="F208" s="146">
        <v>1</v>
      </c>
      <c r="G208" s="146">
        <v>1</v>
      </c>
      <c r="H208" s="146">
        <v>1</v>
      </c>
      <c r="I208" s="146">
        <v>1</v>
      </c>
      <c r="J208" s="146">
        <v>1</v>
      </c>
      <c r="K208" s="146">
        <v>1</v>
      </c>
      <c r="L208" s="146">
        <v>1</v>
      </c>
      <c r="M208" s="146">
        <v>1</v>
      </c>
      <c r="N208" s="146">
        <v>1</v>
      </c>
      <c r="O208" s="146"/>
      <c r="P208" s="146">
        <v>1</v>
      </c>
      <c r="Q208" s="146">
        <v>1</v>
      </c>
      <c r="R208" s="146"/>
      <c r="S208" s="146"/>
      <c r="T208" s="146"/>
    </row>
    <row r="209" spans="1:20" x14ac:dyDescent="0.3">
      <c r="A209" s="146" t="s">
        <v>155</v>
      </c>
      <c r="B209" s="146" t="s">
        <v>2190</v>
      </c>
      <c r="C209" s="146" t="s">
        <v>149</v>
      </c>
      <c r="D209" s="146">
        <v>1</v>
      </c>
      <c r="E209" s="146">
        <v>1</v>
      </c>
      <c r="F209" s="146">
        <v>1</v>
      </c>
      <c r="G209" s="146">
        <v>1</v>
      </c>
      <c r="H209" s="146">
        <v>1</v>
      </c>
      <c r="I209" s="146">
        <v>1</v>
      </c>
      <c r="J209" s="146">
        <v>1</v>
      </c>
      <c r="K209" s="146"/>
      <c r="L209" s="146"/>
      <c r="M209" s="146">
        <v>1</v>
      </c>
      <c r="N209" s="146">
        <v>1</v>
      </c>
      <c r="O209" s="146"/>
      <c r="P209" s="146">
        <v>1</v>
      </c>
      <c r="Q209" s="146"/>
      <c r="R209" s="146"/>
      <c r="S209" s="146"/>
      <c r="T209" s="146"/>
    </row>
    <row r="210" spans="1:20" x14ac:dyDescent="0.3">
      <c r="A210" s="146" t="s">
        <v>191</v>
      </c>
      <c r="B210" s="146" t="s">
        <v>1789</v>
      </c>
      <c r="C210" s="146" t="s">
        <v>2102</v>
      </c>
      <c r="D210" s="146">
        <v>1</v>
      </c>
      <c r="E210" s="146"/>
      <c r="F210" s="146"/>
      <c r="G210" s="146">
        <v>1</v>
      </c>
      <c r="H210" s="146"/>
      <c r="I210" s="146"/>
      <c r="J210" s="146"/>
      <c r="K210" s="146"/>
      <c r="L210" s="146"/>
      <c r="M210" s="146"/>
      <c r="N210" s="146">
        <v>1</v>
      </c>
      <c r="O210" s="146"/>
      <c r="P210" s="146">
        <v>1</v>
      </c>
      <c r="Q210" s="146"/>
      <c r="R210" s="146"/>
      <c r="S210" s="146"/>
      <c r="T210" s="146"/>
    </row>
    <row r="211" spans="1:20" x14ac:dyDescent="0.3">
      <c r="A211" s="146" t="s">
        <v>198</v>
      </c>
      <c r="B211" s="146" t="s">
        <v>617</v>
      </c>
      <c r="C211" s="146" t="s">
        <v>2099</v>
      </c>
      <c r="D211" s="146">
        <v>1</v>
      </c>
      <c r="E211" s="146">
        <v>1</v>
      </c>
      <c r="F211" s="146">
        <v>1</v>
      </c>
      <c r="G211" s="146">
        <v>1</v>
      </c>
      <c r="H211" s="146">
        <v>1</v>
      </c>
      <c r="I211" s="146">
        <v>1</v>
      </c>
      <c r="J211" s="146">
        <v>1</v>
      </c>
      <c r="K211" s="146"/>
      <c r="L211" s="146"/>
      <c r="M211" s="146"/>
      <c r="N211" s="146">
        <v>1</v>
      </c>
      <c r="O211" s="146"/>
      <c r="P211" s="146">
        <v>1</v>
      </c>
      <c r="Q211" s="146"/>
      <c r="R211" s="146"/>
      <c r="S211" s="146"/>
      <c r="T211" s="146"/>
    </row>
    <row r="212" spans="1:20" x14ac:dyDescent="0.3">
      <c r="A212" s="146" t="s">
        <v>168</v>
      </c>
      <c r="B212" s="146" t="s">
        <v>827</v>
      </c>
      <c r="C212" s="146" t="s">
        <v>2099</v>
      </c>
      <c r="D212" s="146">
        <v>1</v>
      </c>
      <c r="E212" s="146"/>
      <c r="F212" s="146"/>
      <c r="G212" s="146">
        <v>1</v>
      </c>
      <c r="H212" s="146"/>
      <c r="I212" s="146"/>
      <c r="J212" s="146">
        <v>1</v>
      </c>
      <c r="K212" s="146"/>
      <c r="L212" s="146"/>
      <c r="M212" s="146"/>
      <c r="N212" s="146">
        <v>1</v>
      </c>
      <c r="O212" s="146"/>
      <c r="P212" s="146">
        <v>1</v>
      </c>
      <c r="Q212" s="146"/>
      <c r="R212" s="146"/>
      <c r="S212" s="146"/>
      <c r="T212" s="146"/>
    </row>
    <row r="213" spans="1:20" x14ac:dyDescent="0.3">
      <c r="A213" s="146" t="s">
        <v>170</v>
      </c>
      <c r="B213" s="146" t="s">
        <v>957</v>
      </c>
      <c r="C213" s="146" t="s">
        <v>2099</v>
      </c>
      <c r="D213" s="146">
        <v>1</v>
      </c>
      <c r="E213" s="146"/>
      <c r="F213" s="146"/>
      <c r="G213" s="146">
        <v>1</v>
      </c>
      <c r="H213" s="146">
        <v>1</v>
      </c>
      <c r="I213" s="146">
        <v>1</v>
      </c>
      <c r="J213" s="146">
        <v>1</v>
      </c>
      <c r="K213" s="146"/>
      <c r="L213" s="146"/>
      <c r="M213" s="146"/>
      <c r="N213" s="146">
        <v>1</v>
      </c>
      <c r="O213" s="146"/>
      <c r="P213" s="146">
        <v>1</v>
      </c>
      <c r="Q213" s="146"/>
      <c r="R213" s="146"/>
      <c r="S213" s="146"/>
      <c r="T213" s="146"/>
    </row>
    <row r="214" spans="1:20" x14ac:dyDescent="0.3">
      <c r="A214" s="146" t="s">
        <v>163</v>
      </c>
      <c r="B214" s="146" t="s">
        <v>2191</v>
      </c>
      <c r="C214" s="146" t="s">
        <v>2099</v>
      </c>
      <c r="D214" s="146">
        <v>1</v>
      </c>
      <c r="E214" s="146">
        <v>1</v>
      </c>
      <c r="F214" s="146">
        <v>1</v>
      </c>
      <c r="G214" s="146">
        <v>1</v>
      </c>
      <c r="H214" s="146">
        <v>1</v>
      </c>
      <c r="I214" s="146"/>
      <c r="J214" s="146">
        <v>1</v>
      </c>
      <c r="K214" s="146"/>
      <c r="L214" s="146"/>
      <c r="M214" s="146"/>
      <c r="N214" s="146">
        <v>1</v>
      </c>
      <c r="O214" s="146"/>
      <c r="P214" s="146">
        <v>1</v>
      </c>
      <c r="Q214" s="146"/>
      <c r="R214" s="146"/>
      <c r="S214" s="146"/>
      <c r="T214" s="146"/>
    </row>
    <row r="215" spans="1:20" x14ac:dyDescent="0.3">
      <c r="A215" s="146" t="s">
        <v>178</v>
      </c>
      <c r="B215" s="146" t="s">
        <v>1287</v>
      </c>
      <c r="C215" s="146" t="s">
        <v>2099</v>
      </c>
      <c r="D215" s="146">
        <v>1</v>
      </c>
      <c r="E215" s="146"/>
      <c r="F215" s="146"/>
      <c r="G215" s="146">
        <v>1</v>
      </c>
      <c r="H215" s="146"/>
      <c r="I215" s="146"/>
      <c r="J215" s="146">
        <v>1</v>
      </c>
      <c r="K215" s="146"/>
      <c r="L215" s="146"/>
      <c r="M215" s="146"/>
      <c r="N215" s="146">
        <v>1</v>
      </c>
      <c r="O215" s="146"/>
      <c r="P215" s="146">
        <v>1</v>
      </c>
      <c r="Q215" s="146"/>
      <c r="R215" s="146">
        <v>1</v>
      </c>
      <c r="S215" s="146"/>
      <c r="T215" s="146"/>
    </row>
    <row r="216" spans="1:20" x14ac:dyDescent="0.3">
      <c r="A216" s="146" t="s">
        <v>173</v>
      </c>
      <c r="B216" s="146" t="s">
        <v>2192</v>
      </c>
      <c r="C216" s="146" t="s">
        <v>2106</v>
      </c>
      <c r="D216" s="146">
        <v>1</v>
      </c>
      <c r="E216" s="146">
        <v>1</v>
      </c>
      <c r="F216" s="146">
        <v>1</v>
      </c>
      <c r="G216" s="146">
        <v>1</v>
      </c>
      <c r="H216" s="146">
        <v>1</v>
      </c>
      <c r="I216" s="146">
        <v>1</v>
      </c>
      <c r="J216" s="146">
        <v>1</v>
      </c>
      <c r="K216" s="146">
        <v>1</v>
      </c>
      <c r="L216" s="146">
        <v>1</v>
      </c>
      <c r="M216" s="146">
        <v>1</v>
      </c>
      <c r="N216" s="146">
        <v>1</v>
      </c>
      <c r="O216" s="146">
        <v>1</v>
      </c>
      <c r="P216" s="146">
        <v>1</v>
      </c>
      <c r="Q216" s="146">
        <v>1</v>
      </c>
      <c r="R216" s="146"/>
      <c r="S216" s="146"/>
      <c r="T216" s="146"/>
    </row>
    <row r="217" spans="1:20" x14ac:dyDescent="0.3">
      <c r="A217" s="146" t="s">
        <v>187</v>
      </c>
      <c r="B217" s="146" t="s">
        <v>1661</v>
      </c>
      <c r="C217" s="146" t="s">
        <v>2099</v>
      </c>
      <c r="D217" s="146">
        <v>1</v>
      </c>
      <c r="E217" s="146">
        <v>1</v>
      </c>
      <c r="F217" s="146"/>
      <c r="G217" s="146">
        <v>1</v>
      </c>
      <c r="H217" s="146">
        <v>1</v>
      </c>
      <c r="I217" s="146">
        <v>1</v>
      </c>
      <c r="J217" s="146">
        <v>1</v>
      </c>
      <c r="K217" s="146"/>
      <c r="L217" s="146"/>
      <c r="M217" s="146"/>
      <c r="N217" s="146">
        <v>1</v>
      </c>
      <c r="O217" s="146"/>
      <c r="P217" s="146">
        <v>1</v>
      </c>
      <c r="Q217" s="146"/>
      <c r="R217" s="146"/>
      <c r="S217" s="146"/>
      <c r="T217" s="146"/>
    </row>
    <row r="218" spans="1:20" x14ac:dyDescent="0.3">
      <c r="A218" s="146" t="s">
        <v>285</v>
      </c>
      <c r="B218" s="146" t="s">
        <v>2193</v>
      </c>
      <c r="C218" s="146" t="s">
        <v>2099</v>
      </c>
      <c r="D218" s="146">
        <v>1</v>
      </c>
      <c r="E218" s="146"/>
      <c r="F218" s="146"/>
      <c r="G218" s="146">
        <v>1</v>
      </c>
      <c r="H218" s="146">
        <v>1</v>
      </c>
      <c r="I218" s="146">
        <v>1</v>
      </c>
      <c r="J218" s="146"/>
      <c r="K218" s="146"/>
      <c r="L218" s="146"/>
      <c r="M218" s="146"/>
      <c r="N218" s="146">
        <v>1</v>
      </c>
      <c r="O218" s="146"/>
      <c r="P218" s="146">
        <v>1</v>
      </c>
      <c r="Q218" s="146"/>
      <c r="R218" s="146"/>
      <c r="S218" s="146"/>
      <c r="T218" s="146"/>
    </row>
    <row r="219" spans="1:20" x14ac:dyDescent="0.3">
      <c r="A219" s="146" t="s">
        <v>190</v>
      </c>
      <c r="B219" s="146" t="s">
        <v>1747</v>
      </c>
      <c r="C219" s="146" t="s">
        <v>2099</v>
      </c>
      <c r="D219" s="146">
        <v>1</v>
      </c>
      <c r="E219" s="146">
        <v>1</v>
      </c>
      <c r="F219" s="146"/>
      <c r="G219" s="146">
        <v>1</v>
      </c>
      <c r="H219" s="146">
        <v>1</v>
      </c>
      <c r="I219" s="146">
        <v>1</v>
      </c>
      <c r="J219" s="146">
        <v>1</v>
      </c>
      <c r="K219" s="146"/>
      <c r="L219" s="146"/>
      <c r="M219" s="146"/>
      <c r="N219" s="146">
        <v>1</v>
      </c>
      <c r="O219" s="146"/>
      <c r="P219" s="146">
        <v>1</v>
      </c>
      <c r="Q219" s="146"/>
      <c r="R219" s="146"/>
      <c r="S219" s="146"/>
      <c r="T219" s="146"/>
    </row>
    <row r="220" spans="1:20" x14ac:dyDescent="0.3">
      <c r="A220" s="146" t="s">
        <v>199</v>
      </c>
      <c r="B220" s="146" t="s">
        <v>2194</v>
      </c>
      <c r="C220" s="146" t="s">
        <v>2099</v>
      </c>
      <c r="D220" s="146">
        <v>1</v>
      </c>
      <c r="E220" s="146"/>
      <c r="F220" s="146"/>
      <c r="G220" s="146">
        <v>1</v>
      </c>
      <c r="H220" s="146"/>
      <c r="I220" s="146"/>
      <c r="J220" s="146"/>
      <c r="K220" s="146"/>
      <c r="L220" s="146"/>
      <c r="M220" s="146"/>
      <c r="N220" s="146">
        <v>1</v>
      </c>
      <c r="O220" s="146"/>
      <c r="P220" s="146">
        <v>1</v>
      </c>
      <c r="Q220" s="146"/>
      <c r="R220" s="146"/>
      <c r="S220" s="146"/>
      <c r="T220" s="146"/>
    </row>
    <row r="221" spans="1:20" x14ac:dyDescent="0.3">
      <c r="A221" s="146" t="s">
        <v>174</v>
      </c>
      <c r="B221" s="146" t="s">
        <v>1108</v>
      </c>
      <c r="C221" s="146" t="s">
        <v>2099</v>
      </c>
      <c r="D221" s="146">
        <v>1</v>
      </c>
      <c r="E221" s="146">
        <v>1</v>
      </c>
      <c r="F221" s="146">
        <v>1</v>
      </c>
      <c r="G221" s="146">
        <v>1</v>
      </c>
      <c r="H221" s="146">
        <v>1</v>
      </c>
      <c r="I221" s="146">
        <v>1</v>
      </c>
      <c r="J221" s="146">
        <v>1</v>
      </c>
      <c r="K221" s="146">
        <v>1</v>
      </c>
      <c r="L221" s="146">
        <v>1</v>
      </c>
      <c r="M221" s="146"/>
      <c r="N221" s="146">
        <v>1</v>
      </c>
      <c r="O221" s="146">
        <v>1</v>
      </c>
      <c r="P221" s="146">
        <v>1</v>
      </c>
      <c r="Q221" s="146"/>
      <c r="R221" s="146"/>
      <c r="S221" s="146"/>
      <c r="T221" s="146"/>
    </row>
    <row r="222" spans="1:20" x14ac:dyDescent="0.3">
      <c r="A222" s="146" t="s">
        <v>174</v>
      </c>
      <c r="B222" s="146" t="s">
        <v>209</v>
      </c>
      <c r="C222" s="146" t="s">
        <v>2106</v>
      </c>
      <c r="D222" s="146">
        <v>1</v>
      </c>
      <c r="E222" s="146">
        <v>1</v>
      </c>
      <c r="F222" s="146">
        <v>1</v>
      </c>
      <c r="G222" s="146">
        <v>1</v>
      </c>
      <c r="H222" s="146">
        <v>1</v>
      </c>
      <c r="I222" s="146">
        <v>1</v>
      </c>
      <c r="J222" s="146">
        <v>1</v>
      </c>
      <c r="K222" s="146">
        <v>1</v>
      </c>
      <c r="L222" s="146">
        <v>1</v>
      </c>
      <c r="M222" s="146">
        <v>1</v>
      </c>
      <c r="N222" s="146">
        <v>1</v>
      </c>
      <c r="O222" s="146">
        <v>1</v>
      </c>
      <c r="P222" s="146">
        <v>1</v>
      </c>
      <c r="Q222" s="146"/>
      <c r="R222" s="146"/>
      <c r="S222" s="146"/>
      <c r="T222" s="146"/>
    </row>
    <row r="223" spans="1:20" x14ac:dyDescent="0.3">
      <c r="A223" s="146" t="s">
        <v>198</v>
      </c>
      <c r="B223" s="146" t="s">
        <v>619</v>
      </c>
      <c r="C223" s="146" t="s">
        <v>2099</v>
      </c>
      <c r="D223" s="146">
        <v>1</v>
      </c>
      <c r="E223" s="146">
        <v>1</v>
      </c>
      <c r="F223" s="146"/>
      <c r="G223" s="146">
        <v>1</v>
      </c>
      <c r="H223" s="146">
        <v>1</v>
      </c>
      <c r="I223" s="146">
        <v>1</v>
      </c>
      <c r="J223" s="146">
        <v>1</v>
      </c>
      <c r="K223" s="146"/>
      <c r="L223" s="146"/>
      <c r="M223" s="146"/>
      <c r="N223" s="146">
        <v>1</v>
      </c>
      <c r="O223" s="146"/>
      <c r="P223" s="146">
        <v>1</v>
      </c>
      <c r="Q223" s="146"/>
      <c r="R223" s="146"/>
      <c r="S223" s="146"/>
      <c r="T223" s="146"/>
    </row>
    <row r="224" spans="1:20" x14ac:dyDescent="0.3">
      <c r="A224" s="146" t="s">
        <v>200</v>
      </c>
      <c r="B224" s="146" t="s">
        <v>1367</v>
      </c>
      <c r="C224" s="146" t="s">
        <v>2102</v>
      </c>
      <c r="D224" s="146">
        <v>1</v>
      </c>
      <c r="E224" s="146"/>
      <c r="F224" s="146"/>
      <c r="G224" s="146">
        <v>1</v>
      </c>
      <c r="H224" s="146"/>
      <c r="I224" s="146"/>
      <c r="J224" s="146"/>
      <c r="K224" s="146"/>
      <c r="L224" s="146"/>
      <c r="M224" s="146"/>
      <c r="N224" s="146">
        <v>1</v>
      </c>
      <c r="O224" s="146"/>
      <c r="P224" s="146">
        <v>1</v>
      </c>
      <c r="Q224" s="146"/>
      <c r="R224" s="146"/>
      <c r="S224" s="146"/>
      <c r="T224" s="146"/>
    </row>
    <row r="225" spans="1:20" x14ac:dyDescent="0.3">
      <c r="A225" s="146" t="s">
        <v>198</v>
      </c>
      <c r="B225" s="146" t="s">
        <v>621</v>
      </c>
      <c r="C225" s="146" t="s">
        <v>2099</v>
      </c>
      <c r="D225" s="146">
        <v>1</v>
      </c>
      <c r="E225" s="146">
        <v>1</v>
      </c>
      <c r="F225" s="146">
        <v>1</v>
      </c>
      <c r="G225" s="146">
        <v>1</v>
      </c>
      <c r="H225" s="146">
        <v>1</v>
      </c>
      <c r="I225" s="146">
        <v>1</v>
      </c>
      <c r="J225" s="146">
        <v>1</v>
      </c>
      <c r="K225" s="146">
        <v>1</v>
      </c>
      <c r="L225" s="146">
        <v>1</v>
      </c>
      <c r="M225" s="146"/>
      <c r="N225" s="146">
        <v>1</v>
      </c>
      <c r="O225" s="146"/>
      <c r="P225" s="146">
        <v>1</v>
      </c>
      <c r="Q225" s="146"/>
      <c r="R225" s="146"/>
      <c r="S225" s="146"/>
      <c r="T225" s="146"/>
    </row>
    <row r="226" spans="1:20" x14ac:dyDescent="0.3">
      <c r="A226" s="146" t="s">
        <v>165</v>
      </c>
      <c r="B226" s="146" t="s">
        <v>745</v>
      </c>
      <c r="C226" s="146" t="s">
        <v>2099</v>
      </c>
      <c r="D226" s="146">
        <v>1</v>
      </c>
      <c r="E226" s="146">
        <v>1</v>
      </c>
      <c r="F226" s="146">
        <v>1</v>
      </c>
      <c r="G226" s="146">
        <v>1</v>
      </c>
      <c r="H226" s="146">
        <v>1</v>
      </c>
      <c r="I226" s="146">
        <v>1</v>
      </c>
      <c r="J226" s="146">
        <v>1</v>
      </c>
      <c r="K226" s="146"/>
      <c r="L226" s="146">
        <v>1</v>
      </c>
      <c r="M226" s="146">
        <v>1</v>
      </c>
      <c r="N226" s="146">
        <v>1</v>
      </c>
      <c r="O226" s="146"/>
      <c r="P226" s="146">
        <v>1</v>
      </c>
      <c r="Q226" s="146">
        <v>1</v>
      </c>
      <c r="R226" s="146"/>
      <c r="S226" s="146"/>
      <c r="T226" s="146"/>
    </row>
    <row r="227" spans="1:20" x14ac:dyDescent="0.3">
      <c r="A227" s="146" t="s">
        <v>199</v>
      </c>
      <c r="B227" s="146" t="s">
        <v>2195</v>
      </c>
      <c r="C227" s="146" t="s">
        <v>2106</v>
      </c>
      <c r="D227" s="146">
        <v>1</v>
      </c>
      <c r="E227" s="146">
        <v>1</v>
      </c>
      <c r="F227" s="146">
        <v>1</v>
      </c>
      <c r="G227" s="146">
        <v>1</v>
      </c>
      <c r="H227" s="146">
        <v>1</v>
      </c>
      <c r="I227" s="146">
        <v>1</v>
      </c>
      <c r="J227" s="146">
        <v>1</v>
      </c>
      <c r="K227" s="146">
        <v>1</v>
      </c>
      <c r="L227" s="146">
        <v>1</v>
      </c>
      <c r="M227" s="146">
        <v>1</v>
      </c>
      <c r="N227" s="146">
        <v>1</v>
      </c>
      <c r="O227" s="146">
        <v>1</v>
      </c>
      <c r="P227" s="146">
        <v>1</v>
      </c>
      <c r="Q227" s="146">
        <v>1</v>
      </c>
      <c r="R227" s="146"/>
      <c r="S227" s="146">
        <v>1</v>
      </c>
      <c r="T227" s="146">
        <v>1</v>
      </c>
    </row>
    <row r="228" spans="1:20" x14ac:dyDescent="0.3">
      <c r="A228" s="146" t="s">
        <v>199</v>
      </c>
      <c r="B228" s="146" t="s">
        <v>2196</v>
      </c>
      <c r="C228" s="146" t="s">
        <v>2099</v>
      </c>
      <c r="D228" s="146">
        <v>1</v>
      </c>
      <c r="E228" s="146">
        <v>1</v>
      </c>
      <c r="F228" s="146">
        <v>1</v>
      </c>
      <c r="G228" s="146">
        <v>1</v>
      </c>
      <c r="H228" s="146"/>
      <c r="I228" s="146"/>
      <c r="J228" s="146">
        <v>1</v>
      </c>
      <c r="K228" s="146"/>
      <c r="L228" s="146"/>
      <c r="M228" s="146"/>
      <c r="N228" s="146">
        <v>1</v>
      </c>
      <c r="O228" s="146"/>
      <c r="P228" s="146">
        <v>1</v>
      </c>
      <c r="Q228" s="146"/>
      <c r="R228" s="146"/>
      <c r="S228" s="146"/>
      <c r="T228" s="146"/>
    </row>
    <row r="229" spans="1:20" x14ac:dyDescent="0.3">
      <c r="A229" s="146" t="s">
        <v>193</v>
      </c>
      <c r="B229" s="146" t="s">
        <v>2197</v>
      </c>
      <c r="C229" s="146" t="s">
        <v>2099</v>
      </c>
      <c r="D229" s="146">
        <v>1</v>
      </c>
      <c r="E229" s="146"/>
      <c r="F229" s="146">
        <v>1</v>
      </c>
      <c r="G229" s="146">
        <v>1</v>
      </c>
      <c r="H229" s="146"/>
      <c r="I229" s="146"/>
      <c r="J229" s="146">
        <v>1</v>
      </c>
      <c r="K229" s="146"/>
      <c r="L229" s="146"/>
      <c r="M229" s="146"/>
      <c r="N229" s="146">
        <v>1</v>
      </c>
      <c r="O229" s="146"/>
      <c r="P229" s="146">
        <v>1</v>
      </c>
      <c r="Q229" s="146"/>
      <c r="R229" s="146"/>
      <c r="S229" s="146"/>
      <c r="T229" s="146"/>
    </row>
    <row r="230" spans="1:20" x14ac:dyDescent="0.3">
      <c r="A230" s="146" t="s">
        <v>183</v>
      </c>
      <c r="B230" s="146" t="s">
        <v>1563</v>
      </c>
      <c r="C230" s="146" t="s">
        <v>2099</v>
      </c>
      <c r="D230" s="146">
        <v>1</v>
      </c>
      <c r="E230" s="146"/>
      <c r="F230" s="146"/>
      <c r="G230" s="146">
        <v>1</v>
      </c>
      <c r="H230" s="146">
        <v>1</v>
      </c>
      <c r="I230" s="146">
        <v>1</v>
      </c>
      <c r="J230" s="146">
        <v>1</v>
      </c>
      <c r="K230" s="146"/>
      <c r="L230" s="146"/>
      <c r="M230" s="146"/>
      <c r="N230" s="146">
        <v>1</v>
      </c>
      <c r="O230" s="146"/>
      <c r="P230" s="146">
        <v>1</v>
      </c>
      <c r="Q230" s="146"/>
      <c r="R230" s="146"/>
      <c r="S230" s="146"/>
      <c r="T230" s="146"/>
    </row>
    <row r="231" spans="1:20" x14ac:dyDescent="0.3">
      <c r="A231" s="146" t="s">
        <v>184</v>
      </c>
      <c r="B231" s="146" t="s">
        <v>2198</v>
      </c>
      <c r="C231" s="146" t="s">
        <v>2102</v>
      </c>
      <c r="D231" s="146">
        <v>1</v>
      </c>
      <c r="E231" s="146"/>
      <c r="F231" s="146"/>
      <c r="G231" s="146">
        <v>1</v>
      </c>
      <c r="H231" s="146"/>
      <c r="I231" s="146"/>
      <c r="J231" s="146"/>
      <c r="K231" s="146"/>
      <c r="L231" s="146"/>
      <c r="M231" s="146"/>
      <c r="N231" s="146">
        <v>1</v>
      </c>
      <c r="O231" s="146"/>
      <c r="P231" s="146">
        <v>1</v>
      </c>
      <c r="Q231" s="146"/>
      <c r="R231" s="146"/>
      <c r="S231" s="146"/>
      <c r="T231" s="146"/>
    </row>
    <row r="232" spans="1:20" x14ac:dyDescent="0.3">
      <c r="A232" s="146" t="s">
        <v>198</v>
      </c>
      <c r="B232" s="146" t="s">
        <v>623</v>
      </c>
      <c r="C232" s="146" t="s">
        <v>2099</v>
      </c>
      <c r="D232" s="146">
        <v>1</v>
      </c>
      <c r="E232" s="146">
        <v>1</v>
      </c>
      <c r="F232" s="146"/>
      <c r="G232" s="146">
        <v>1</v>
      </c>
      <c r="H232" s="146">
        <v>1</v>
      </c>
      <c r="I232" s="146">
        <v>1</v>
      </c>
      <c r="J232" s="146"/>
      <c r="K232" s="146"/>
      <c r="L232" s="146"/>
      <c r="M232" s="146"/>
      <c r="N232" s="146">
        <v>1</v>
      </c>
      <c r="O232" s="146"/>
      <c r="P232" s="146">
        <v>1</v>
      </c>
      <c r="Q232" s="146"/>
      <c r="R232" s="146"/>
      <c r="S232" s="146"/>
      <c r="T232" s="146"/>
    </row>
    <row r="233" spans="1:20" x14ac:dyDescent="0.3">
      <c r="A233" s="146" t="s">
        <v>168</v>
      </c>
      <c r="B233" s="146" t="s">
        <v>828</v>
      </c>
      <c r="C233" s="146" t="s">
        <v>2099</v>
      </c>
      <c r="D233" s="146">
        <v>1</v>
      </c>
      <c r="E233" s="146">
        <v>1</v>
      </c>
      <c r="F233" s="146"/>
      <c r="G233" s="146">
        <v>1</v>
      </c>
      <c r="H233" s="146">
        <v>1</v>
      </c>
      <c r="I233" s="146">
        <v>1</v>
      </c>
      <c r="J233" s="146"/>
      <c r="K233" s="146"/>
      <c r="L233" s="146"/>
      <c r="M233" s="146"/>
      <c r="N233" s="146">
        <v>1</v>
      </c>
      <c r="O233" s="146"/>
      <c r="P233" s="146">
        <v>1</v>
      </c>
      <c r="Q233" s="146"/>
      <c r="R233" s="146"/>
      <c r="S233" s="146"/>
      <c r="T233" s="146"/>
    </row>
    <row r="234" spans="1:20" x14ac:dyDescent="0.3">
      <c r="A234" s="146" t="s">
        <v>165</v>
      </c>
      <c r="B234" s="146" t="s">
        <v>2199</v>
      </c>
      <c r="C234" s="146" t="s">
        <v>2099</v>
      </c>
      <c r="D234" s="146">
        <v>1</v>
      </c>
      <c r="E234" s="146"/>
      <c r="F234" s="146"/>
      <c r="G234" s="146">
        <v>1</v>
      </c>
      <c r="H234" s="146"/>
      <c r="I234" s="146"/>
      <c r="J234" s="146">
        <v>1</v>
      </c>
      <c r="K234" s="146"/>
      <c r="L234" s="146"/>
      <c r="M234" s="146"/>
      <c r="N234" s="146">
        <v>1</v>
      </c>
      <c r="O234" s="146"/>
      <c r="P234" s="146">
        <v>1</v>
      </c>
      <c r="Q234" s="146"/>
      <c r="R234" s="146">
        <v>1</v>
      </c>
      <c r="S234" s="146"/>
      <c r="T234" s="146"/>
    </row>
    <row r="235" spans="1:20" x14ac:dyDescent="0.3">
      <c r="A235" s="146" t="s">
        <v>200</v>
      </c>
      <c r="B235" s="146" t="s">
        <v>2200</v>
      </c>
      <c r="C235" s="146" t="s">
        <v>2099</v>
      </c>
      <c r="D235" s="146">
        <v>1</v>
      </c>
      <c r="E235" s="146">
        <v>1</v>
      </c>
      <c r="F235" s="146">
        <v>1</v>
      </c>
      <c r="G235" s="146">
        <v>1</v>
      </c>
      <c r="H235" s="146">
        <v>1</v>
      </c>
      <c r="I235" s="146">
        <v>1</v>
      </c>
      <c r="J235" s="146">
        <v>1</v>
      </c>
      <c r="K235" s="146">
        <v>1</v>
      </c>
      <c r="L235" s="146">
        <v>1</v>
      </c>
      <c r="M235" s="146"/>
      <c r="N235" s="146">
        <v>1</v>
      </c>
      <c r="O235" s="146"/>
      <c r="P235" s="146">
        <v>1</v>
      </c>
      <c r="Q235" s="146"/>
      <c r="R235" s="146"/>
      <c r="S235" s="146"/>
      <c r="T235" s="146"/>
    </row>
    <row r="236" spans="1:20" x14ac:dyDescent="0.3">
      <c r="A236" s="146" t="s">
        <v>167</v>
      </c>
      <c r="B236" s="146" t="s">
        <v>790</v>
      </c>
      <c r="C236" s="146" t="s">
        <v>2099</v>
      </c>
      <c r="D236" s="146">
        <v>1</v>
      </c>
      <c r="E236" s="146">
        <v>1</v>
      </c>
      <c r="F236" s="146">
        <v>1</v>
      </c>
      <c r="G236" s="146">
        <v>1</v>
      </c>
      <c r="H236" s="146">
        <v>1</v>
      </c>
      <c r="I236" s="146">
        <v>1</v>
      </c>
      <c r="J236" s="146">
        <v>1</v>
      </c>
      <c r="K236" s="146"/>
      <c r="L236" s="146"/>
      <c r="M236" s="146"/>
      <c r="N236" s="146">
        <v>1</v>
      </c>
      <c r="O236" s="146"/>
      <c r="P236" s="146">
        <v>1</v>
      </c>
      <c r="Q236" s="146"/>
      <c r="R236" s="146"/>
      <c r="S236" s="146"/>
      <c r="T236" s="146"/>
    </row>
    <row r="237" spans="1:20" x14ac:dyDescent="0.3">
      <c r="A237" s="146" t="s">
        <v>165</v>
      </c>
      <c r="B237" s="146" t="s">
        <v>746</v>
      </c>
      <c r="C237" s="146" t="s">
        <v>2099</v>
      </c>
      <c r="D237" s="146">
        <v>1</v>
      </c>
      <c r="E237" s="146">
        <v>1</v>
      </c>
      <c r="F237" s="146">
        <v>1</v>
      </c>
      <c r="G237" s="146">
        <v>1</v>
      </c>
      <c r="H237" s="146">
        <v>1</v>
      </c>
      <c r="I237" s="146">
        <v>1</v>
      </c>
      <c r="J237" s="146">
        <v>1</v>
      </c>
      <c r="K237" s="146"/>
      <c r="L237" s="146">
        <v>1</v>
      </c>
      <c r="M237" s="146"/>
      <c r="N237" s="146">
        <v>1</v>
      </c>
      <c r="O237" s="146"/>
      <c r="P237" s="146">
        <v>1</v>
      </c>
      <c r="Q237" s="146"/>
      <c r="R237" s="146"/>
      <c r="S237" s="146"/>
      <c r="T237" s="146"/>
    </row>
    <row r="238" spans="1:20" x14ac:dyDescent="0.3">
      <c r="A238" s="146" t="s">
        <v>153</v>
      </c>
      <c r="B238" s="146" t="s">
        <v>295</v>
      </c>
      <c r="C238" s="146" t="s">
        <v>2099</v>
      </c>
      <c r="D238" s="146">
        <v>1</v>
      </c>
      <c r="E238" s="146">
        <v>1</v>
      </c>
      <c r="F238" s="146"/>
      <c r="G238" s="146">
        <v>1</v>
      </c>
      <c r="H238" s="146">
        <v>1</v>
      </c>
      <c r="I238" s="146">
        <v>1</v>
      </c>
      <c r="J238" s="146">
        <v>1</v>
      </c>
      <c r="K238" s="146"/>
      <c r="L238" s="146"/>
      <c r="M238" s="146"/>
      <c r="N238" s="146">
        <v>1</v>
      </c>
      <c r="O238" s="146"/>
      <c r="P238" s="146">
        <v>1</v>
      </c>
      <c r="Q238" s="146"/>
      <c r="R238" s="146"/>
      <c r="S238" s="146"/>
      <c r="T238" s="146"/>
    </row>
    <row r="239" spans="1:20" x14ac:dyDescent="0.3">
      <c r="A239" s="146" t="s">
        <v>190</v>
      </c>
      <c r="B239" s="146" t="s">
        <v>1748</v>
      </c>
      <c r="C239" s="146" t="s">
        <v>2099</v>
      </c>
      <c r="D239" s="146">
        <v>1</v>
      </c>
      <c r="E239" s="146">
        <v>1</v>
      </c>
      <c r="F239" s="146">
        <v>1</v>
      </c>
      <c r="G239" s="146">
        <v>1</v>
      </c>
      <c r="H239" s="146">
        <v>1</v>
      </c>
      <c r="I239" s="146">
        <v>1</v>
      </c>
      <c r="J239" s="146">
        <v>1</v>
      </c>
      <c r="K239" s="146">
        <v>1</v>
      </c>
      <c r="L239" s="146">
        <v>1</v>
      </c>
      <c r="M239" s="146"/>
      <c r="N239" s="146">
        <v>1</v>
      </c>
      <c r="O239" s="146"/>
      <c r="P239" s="146">
        <v>1</v>
      </c>
      <c r="Q239" s="146"/>
      <c r="R239" s="146"/>
      <c r="S239" s="146"/>
      <c r="T239" s="146"/>
    </row>
    <row r="240" spans="1:20" x14ac:dyDescent="0.3">
      <c r="A240" s="146" t="s">
        <v>285</v>
      </c>
      <c r="B240" s="146" t="s">
        <v>2201</v>
      </c>
      <c r="C240" s="146" t="s">
        <v>2099</v>
      </c>
      <c r="D240" s="146">
        <v>1</v>
      </c>
      <c r="E240" s="146"/>
      <c r="F240" s="146"/>
      <c r="G240" s="146">
        <v>1</v>
      </c>
      <c r="H240" s="146"/>
      <c r="I240" s="146"/>
      <c r="J240" s="146"/>
      <c r="K240" s="146"/>
      <c r="L240" s="146"/>
      <c r="M240" s="146"/>
      <c r="N240" s="146">
        <v>1</v>
      </c>
      <c r="O240" s="146"/>
      <c r="P240" s="146">
        <v>1</v>
      </c>
      <c r="Q240" s="146"/>
      <c r="R240" s="146">
        <v>1</v>
      </c>
      <c r="S240" s="146"/>
      <c r="T240" s="146"/>
    </row>
    <row r="241" spans="1:20" x14ac:dyDescent="0.3">
      <c r="A241" s="146" t="s">
        <v>183</v>
      </c>
      <c r="B241" s="146" t="s">
        <v>1564</v>
      </c>
      <c r="C241" s="146" t="s">
        <v>2099</v>
      </c>
      <c r="D241" s="146">
        <v>1</v>
      </c>
      <c r="E241" s="146">
        <v>1</v>
      </c>
      <c r="F241" s="146">
        <v>1</v>
      </c>
      <c r="G241" s="146">
        <v>1</v>
      </c>
      <c r="H241" s="146">
        <v>1</v>
      </c>
      <c r="I241" s="146">
        <v>1</v>
      </c>
      <c r="J241" s="146">
        <v>1</v>
      </c>
      <c r="K241" s="146">
        <v>1</v>
      </c>
      <c r="L241" s="146"/>
      <c r="M241" s="146"/>
      <c r="N241" s="146">
        <v>1</v>
      </c>
      <c r="O241" s="146"/>
      <c r="P241" s="146">
        <v>1</v>
      </c>
      <c r="Q241" s="146"/>
      <c r="R241" s="146"/>
      <c r="S241" s="146"/>
      <c r="T241" s="146"/>
    </row>
    <row r="242" spans="1:20" x14ac:dyDescent="0.3">
      <c r="A242" s="146" t="s">
        <v>168</v>
      </c>
      <c r="B242" s="146" t="s">
        <v>2202</v>
      </c>
      <c r="C242" s="146" t="s">
        <v>149</v>
      </c>
      <c r="D242" s="146">
        <v>1</v>
      </c>
      <c r="E242" s="146">
        <v>1</v>
      </c>
      <c r="F242" s="146">
        <v>1</v>
      </c>
      <c r="G242" s="146">
        <v>1</v>
      </c>
      <c r="H242" s="146">
        <v>1</v>
      </c>
      <c r="I242" s="146">
        <v>1</v>
      </c>
      <c r="J242" s="146">
        <v>1</v>
      </c>
      <c r="K242" s="146">
        <v>1</v>
      </c>
      <c r="L242" s="146"/>
      <c r="M242" s="146"/>
      <c r="N242" s="146">
        <v>1</v>
      </c>
      <c r="O242" s="146"/>
      <c r="P242" s="146">
        <v>1</v>
      </c>
      <c r="Q242" s="146"/>
      <c r="R242" s="146"/>
      <c r="S242" s="146"/>
      <c r="T242" s="146"/>
    </row>
    <row r="243" spans="1:20" x14ac:dyDescent="0.3">
      <c r="A243" s="146" t="s">
        <v>167</v>
      </c>
      <c r="B243" s="146" t="s">
        <v>2203</v>
      </c>
      <c r="C243" s="146" t="s">
        <v>2099</v>
      </c>
      <c r="D243" s="146">
        <v>1</v>
      </c>
      <c r="E243" s="146">
        <v>1</v>
      </c>
      <c r="F243" s="146"/>
      <c r="G243" s="146">
        <v>1</v>
      </c>
      <c r="H243" s="146">
        <v>1</v>
      </c>
      <c r="I243" s="146">
        <v>1</v>
      </c>
      <c r="J243" s="146"/>
      <c r="K243" s="146"/>
      <c r="L243" s="146"/>
      <c r="M243" s="146"/>
      <c r="N243" s="146">
        <v>1</v>
      </c>
      <c r="O243" s="146"/>
      <c r="P243" s="146">
        <v>1</v>
      </c>
      <c r="Q243" s="146"/>
      <c r="R243" s="146"/>
      <c r="S243" s="146"/>
      <c r="T243" s="146"/>
    </row>
    <row r="244" spans="1:20" x14ac:dyDescent="0.3">
      <c r="A244" s="146" t="s">
        <v>173</v>
      </c>
      <c r="B244" s="146" t="s">
        <v>2204</v>
      </c>
      <c r="C244" s="146" t="s">
        <v>2099</v>
      </c>
      <c r="D244" s="146">
        <v>1</v>
      </c>
      <c r="E244" s="146">
        <v>1</v>
      </c>
      <c r="F244" s="146"/>
      <c r="G244" s="146">
        <v>1</v>
      </c>
      <c r="H244" s="146"/>
      <c r="I244" s="146"/>
      <c r="J244" s="146"/>
      <c r="K244" s="146"/>
      <c r="L244" s="146"/>
      <c r="M244" s="146"/>
      <c r="N244" s="146">
        <v>1</v>
      </c>
      <c r="O244" s="146"/>
      <c r="P244" s="146">
        <v>1</v>
      </c>
      <c r="Q244" s="146"/>
      <c r="R244" s="146">
        <v>1</v>
      </c>
      <c r="S244" s="146"/>
      <c r="T244" s="146"/>
    </row>
    <row r="245" spans="1:20" x14ac:dyDescent="0.3">
      <c r="A245" s="146" t="s">
        <v>168</v>
      </c>
      <c r="B245" s="146" t="s">
        <v>829</v>
      </c>
      <c r="C245" s="146" t="s">
        <v>2099</v>
      </c>
      <c r="D245" s="146">
        <v>1</v>
      </c>
      <c r="E245" s="146"/>
      <c r="F245" s="146"/>
      <c r="G245" s="146">
        <v>1</v>
      </c>
      <c r="H245" s="146"/>
      <c r="I245" s="146"/>
      <c r="J245" s="146"/>
      <c r="K245" s="146"/>
      <c r="L245" s="146"/>
      <c r="M245" s="146"/>
      <c r="N245" s="146">
        <v>1</v>
      </c>
      <c r="O245" s="146"/>
      <c r="P245" s="146">
        <v>1</v>
      </c>
      <c r="Q245" s="146"/>
      <c r="R245" s="146">
        <v>1</v>
      </c>
      <c r="S245" s="146"/>
      <c r="T245" s="146"/>
    </row>
    <row r="246" spans="1:20" x14ac:dyDescent="0.3">
      <c r="A246" s="146" t="s">
        <v>162</v>
      </c>
      <c r="B246" s="146" t="s">
        <v>2205</v>
      </c>
      <c r="C246" s="146" t="s">
        <v>2102</v>
      </c>
      <c r="D246" s="146">
        <v>1</v>
      </c>
      <c r="E246" s="146"/>
      <c r="F246" s="146"/>
      <c r="G246" s="146">
        <v>1</v>
      </c>
      <c r="H246" s="146"/>
      <c r="I246" s="146"/>
      <c r="J246" s="146"/>
      <c r="K246" s="146"/>
      <c r="L246" s="146"/>
      <c r="M246" s="146"/>
      <c r="N246" s="146">
        <v>1</v>
      </c>
      <c r="O246" s="146"/>
      <c r="P246" s="146">
        <v>1</v>
      </c>
      <c r="Q246" s="146"/>
      <c r="R246" s="146"/>
      <c r="S246" s="146"/>
      <c r="T246" s="146"/>
    </row>
    <row r="247" spans="1:20" x14ac:dyDescent="0.3">
      <c r="A247" s="146" t="s">
        <v>198</v>
      </c>
      <c r="B247" s="146" t="s">
        <v>625</v>
      </c>
      <c r="C247" s="146" t="s">
        <v>2099</v>
      </c>
      <c r="D247" s="146">
        <v>1</v>
      </c>
      <c r="E247" s="146"/>
      <c r="F247" s="146"/>
      <c r="G247" s="146">
        <v>1</v>
      </c>
      <c r="H247" s="146"/>
      <c r="I247" s="146"/>
      <c r="J247" s="146"/>
      <c r="K247" s="146"/>
      <c r="L247" s="146"/>
      <c r="M247" s="146"/>
      <c r="N247" s="146">
        <v>1</v>
      </c>
      <c r="O247" s="146"/>
      <c r="P247" s="146">
        <v>1</v>
      </c>
      <c r="Q247" s="146"/>
      <c r="R247" s="146">
        <v>1</v>
      </c>
      <c r="S247" s="146"/>
      <c r="T247" s="146"/>
    </row>
    <row r="248" spans="1:20" x14ac:dyDescent="0.3">
      <c r="A248" s="146" t="s">
        <v>199</v>
      </c>
      <c r="B248" s="146" t="s">
        <v>2206</v>
      </c>
      <c r="C248" s="146" t="s">
        <v>2099</v>
      </c>
      <c r="D248" s="146">
        <v>1</v>
      </c>
      <c r="E248" s="146"/>
      <c r="F248" s="146"/>
      <c r="G248" s="146">
        <v>1</v>
      </c>
      <c r="H248" s="146"/>
      <c r="I248" s="146"/>
      <c r="J248" s="146"/>
      <c r="K248" s="146"/>
      <c r="L248" s="146"/>
      <c r="M248" s="146"/>
      <c r="N248" s="146">
        <v>1</v>
      </c>
      <c r="O248" s="146"/>
      <c r="P248" s="146">
        <v>1</v>
      </c>
      <c r="Q248" s="146"/>
      <c r="R248" s="146"/>
      <c r="S248" s="146"/>
      <c r="T248" s="146"/>
    </row>
    <row r="249" spans="1:20" x14ac:dyDescent="0.3">
      <c r="A249" s="146" t="s">
        <v>174</v>
      </c>
      <c r="B249" s="146" t="s">
        <v>1109</v>
      </c>
      <c r="C249" s="146" t="s">
        <v>2099</v>
      </c>
      <c r="D249" s="146">
        <v>1</v>
      </c>
      <c r="E249" s="146"/>
      <c r="F249" s="146"/>
      <c r="G249" s="146">
        <v>1</v>
      </c>
      <c r="H249" s="146"/>
      <c r="I249" s="146">
        <v>1</v>
      </c>
      <c r="J249" s="146">
        <v>1</v>
      </c>
      <c r="K249" s="146"/>
      <c r="L249" s="146"/>
      <c r="M249" s="146"/>
      <c r="N249" s="146">
        <v>1</v>
      </c>
      <c r="O249" s="146"/>
      <c r="P249" s="146">
        <v>1</v>
      </c>
      <c r="Q249" s="146"/>
      <c r="R249" s="146">
        <v>1</v>
      </c>
      <c r="S249" s="146"/>
      <c r="T249" s="146"/>
    </row>
    <row r="250" spans="1:20" x14ac:dyDescent="0.3">
      <c r="A250" s="146" t="s">
        <v>198</v>
      </c>
      <c r="B250" s="146" t="s">
        <v>627</v>
      </c>
      <c r="C250" s="146" t="s">
        <v>2099</v>
      </c>
      <c r="D250" s="146">
        <v>1</v>
      </c>
      <c r="E250" s="146"/>
      <c r="F250" s="146"/>
      <c r="G250" s="146">
        <v>1</v>
      </c>
      <c r="H250" s="146"/>
      <c r="I250" s="146"/>
      <c r="J250" s="146"/>
      <c r="K250" s="146"/>
      <c r="L250" s="146"/>
      <c r="M250" s="146"/>
      <c r="N250" s="146">
        <v>1</v>
      </c>
      <c r="O250" s="146"/>
      <c r="P250" s="146">
        <v>1</v>
      </c>
      <c r="Q250" s="146"/>
      <c r="R250" s="146">
        <v>1</v>
      </c>
      <c r="S250" s="146"/>
      <c r="T250" s="146"/>
    </row>
    <row r="251" spans="1:20" x14ac:dyDescent="0.3">
      <c r="A251" s="146" t="s">
        <v>191</v>
      </c>
      <c r="B251" s="146" t="s">
        <v>2207</v>
      </c>
      <c r="C251" s="146" t="s">
        <v>2099</v>
      </c>
      <c r="D251" s="146">
        <v>1</v>
      </c>
      <c r="E251" s="146"/>
      <c r="F251" s="146"/>
      <c r="G251" s="146">
        <v>1</v>
      </c>
      <c r="H251" s="146"/>
      <c r="I251" s="146">
        <v>1</v>
      </c>
      <c r="J251" s="146"/>
      <c r="K251" s="146"/>
      <c r="L251" s="146"/>
      <c r="M251" s="146"/>
      <c r="N251" s="146">
        <v>1</v>
      </c>
      <c r="O251" s="146"/>
      <c r="P251" s="146">
        <v>1</v>
      </c>
      <c r="Q251" s="146"/>
      <c r="R251" s="146">
        <v>1</v>
      </c>
      <c r="S251" s="146"/>
      <c r="T251" s="146"/>
    </row>
    <row r="252" spans="1:20" x14ac:dyDescent="0.3">
      <c r="A252" s="146" t="s">
        <v>198</v>
      </c>
      <c r="B252" s="146" t="s">
        <v>629</v>
      </c>
      <c r="C252" s="146" t="s">
        <v>2099</v>
      </c>
      <c r="D252" s="146">
        <v>1</v>
      </c>
      <c r="E252" s="146">
        <v>1</v>
      </c>
      <c r="F252" s="146"/>
      <c r="G252" s="146">
        <v>1</v>
      </c>
      <c r="H252" s="146">
        <v>1</v>
      </c>
      <c r="I252" s="146">
        <v>1</v>
      </c>
      <c r="J252" s="146"/>
      <c r="K252" s="146"/>
      <c r="L252" s="146"/>
      <c r="M252" s="146"/>
      <c r="N252" s="146">
        <v>1</v>
      </c>
      <c r="O252" s="146"/>
      <c r="P252" s="146">
        <v>1</v>
      </c>
      <c r="Q252" s="146"/>
      <c r="R252" s="146"/>
      <c r="S252" s="146"/>
      <c r="T252" s="146"/>
    </row>
    <row r="253" spans="1:20" x14ac:dyDescent="0.3">
      <c r="A253" s="146" t="s">
        <v>173</v>
      </c>
      <c r="B253" s="146" t="s">
        <v>2208</v>
      </c>
      <c r="C253" s="146" t="s">
        <v>2099</v>
      </c>
      <c r="D253" s="146">
        <v>1</v>
      </c>
      <c r="E253" s="146">
        <v>1</v>
      </c>
      <c r="F253" s="146">
        <v>1</v>
      </c>
      <c r="G253" s="146">
        <v>1</v>
      </c>
      <c r="H253" s="146">
        <v>1</v>
      </c>
      <c r="I253" s="146">
        <v>1</v>
      </c>
      <c r="J253" s="146">
        <v>1</v>
      </c>
      <c r="K253" s="146"/>
      <c r="L253" s="146"/>
      <c r="M253" s="146"/>
      <c r="N253" s="146">
        <v>1</v>
      </c>
      <c r="O253" s="146"/>
      <c r="P253" s="146">
        <v>1</v>
      </c>
      <c r="Q253" s="146"/>
      <c r="R253" s="146"/>
      <c r="S253" s="146"/>
      <c r="T253" s="146"/>
    </row>
    <row r="254" spans="1:20" x14ac:dyDescent="0.3">
      <c r="A254" s="146" t="s">
        <v>177</v>
      </c>
      <c r="B254" s="146" t="s">
        <v>2209</v>
      </c>
      <c r="C254" s="146" t="s">
        <v>149</v>
      </c>
      <c r="D254" s="146">
        <v>1</v>
      </c>
      <c r="E254" s="146">
        <v>1</v>
      </c>
      <c r="F254" s="146">
        <v>1</v>
      </c>
      <c r="G254" s="146">
        <v>1</v>
      </c>
      <c r="H254" s="146">
        <v>1</v>
      </c>
      <c r="I254" s="146">
        <v>1</v>
      </c>
      <c r="J254" s="146">
        <v>1</v>
      </c>
      <c r="K254" s="146">
        <v>1</v>
      </c>
      <c r="L254" s="146">
        <v>1</v>
      </c>
      <c r="M254" s="146"/>
      <c r="N254" s="146">
        <v>1</v>
      </c>
      <c r="O254" s="146">
        <v>1</v>
      </c>
      <c r="P254" s="146">
        <v>1</v>
      </c>
      <c r="Q254" s="146">
        <v>1</v>
      </c>
      <c r="R254" s="146"/>
      <c r="S254" s="146"/>
      <c r="T254" s="146"/>
    </row>
    <row r="255" spans="1:20" x14ac:dyDescent="0.3">
      <c r="A255" s="146" t="s">
        <v>198</v>
      </c>
      <c r="B255" s="146" t="s">
        <v>631</v>
      </c>
      <c r="C255" s="146" t="s">
        <v>2099</v>
      </c>
      <c r="D255" s="146">
        <v>1</v>
      </c>
      <c r="E255" s="146">
        <v>1</v>
      </c>
      <c r="F255" s="146"/>
      <c r="G255" s="146">
        <v>1</v>
      </c>
      <c r="H255" s="146">
        <v>1</v>
      </c>
      <c r="I255" s="146">
        <v>1</v>
      </c>
      <c r="J255" s="146"/>
      <c r="K255" s="146"/>
      <c r="L255" s="146"/>
      <c r="M255" s="146"/>
      <c r="N255" s="146">
        <v>1</v>
      </c>
      <c r="O255" s="146"/>
      <c r="P255" s="146">
        <v>1</v>
      </c>
      <c r="Q255" s="146"/>
      <c r="R255" s="146"/>
      <c r="S255" s="146"/>
      <c r="T255" s="146"/>
    </row>
    <row r="256" spans="1:20" x14ac:dyDescent="0.3">
      <c r="A256" s="146" t="s">
        <v>173</v>
      </c>
      <c r="B256" s="146" t="s">
        <v>1047</v>
      </c>
      <c r="C256" s="146" t="s">
        <v>2099</v>
      </c>
      <c r="D256" s="146">
        <v>1</v>
      </c>
      <c r="E256" s="146"/>
      <c r="F256" s="146"/>
      <c r="G256" s="146">
        <v>1</v>
      </c>
      <c r="H256" s="146"/>
      <c r="I256" s="146"/>
      <c r="J256" s="146"/>
      <c r="K256" s="146"/>
      <c r="L256" s="146"/>
      <c r="M256" s="146"/>
      <c r="N256" s="146">
        <v>1</v>
      </c>
      <c r="O256" s="146"/>
      <c r="P256" s="146">
        <v>1</v>
      </c>
      <c r="Q256" s="146"/>
      <c r="R256" s="146"/>
      <c r="S256" s="146"/>
      <c r="T256" s="146"/>
    </row>
    <row r="257" spans="1:20" x14ac:dyDescent="0.3">
      <c r="A257" s="146" t="s">
        <v>199</v>
      </c>
      <c r="B257" s="146" t="s">
        <v>1408</v>
      </c>
      <c r="C257" s="146" t="s">
        <v>2106</v>
      </c>
      <c r="D257" s="146">
        <v>1</v>
      </c>
      <c r="E257" s="146">
        <v>1</v>
      </c>
      <c r="F257" s="146">
        <v>1</v>
      </c>
      <c r="G257" s="146">
        <v>1</v>
      </c>
      <c r="H257" s="146">
        <v>1</v>
      </c>
      <c r="I257" s="146">
        <v>1</v>
      </c>
      <c r="J257" s="146">
        <v>1</v>
      </c>
      <c r="K257" s="146">
        <v>1</v>
      </c>
      <c r="L257" s="146">
        <v>1</v>
      </c>
      <c r="M257" s="146">
        <v>1</v>
      </c>
      <c r="N257" s="146">
        <v>1</v>
      </c>
      <c r="O257" s="146"/>
      <c r="P257" s="146"/>
      <c r="Q257" s="146"/>
      <c r="R257" s="146"/>
      <c r="S257" s="146">
        <v>1</v>
      </c>
      <c r="T257" s="146"/>
    </row>
    <row r="258" spans="1:20" x14ac:dyDescent="0.3">
      <c r="A258" s="146" t="s">
        <v>158</v>
      </c>
      <c r="B258" s="146" t="s">
        <v>2210</v>
      </c>
      <c r="C258" s="146" t="s">
        <v>2099</v>
      </c>
      <c r="D258" s="146">
        <v>1</v>
      </c>
      <c r="E258" s="146">
        <v>1</v>
      </c>
      <c r="F258" s="146"/>
      <c r="G258" s="146">
        <v>1</v>
      </c>
      <c r="H258" s="146">
        <v>1</v>
      </c>
      <c r="I258" s="146">
        <v>1</v>
      </c>
      <c r="J258" s="146">
        <v>1</v>
      </c>
      <c r="K258" s="146"/>
      <c r="L258" s="146"/>
      <c r="M258" s="146"/>
      <c r="N258" s="146">
        <v>1</v>
      </c>
      <c r="O258" s="146"/>
      <c r="P258" s="146">
        <v>1</v>
      </c>
      <c r="Q258" s="146"/>
      <c r="R258" s="146"/>
      <c r="S258" s="146"/>
      <c r="T258" s="146"/>
    </row>
    <row r="259" spans="1:20" x14ac:dyDescent="0.3">
      <c r="A259" s="146" t="s">
        <v>177</v>
      </c>
      <c r="B259" s="146" t="s">
        <v>1226</v>
      </c>
      <c r="C259" s="146" t="s">
        <v>2102</v>
      </c>
      <c r="D259" s="146">
        <v>1</v>
      </c>
      <c r="E259" s="146"/>
      <c r="F259" s="146"/>
      <c r="G259" s="146">
        <v>1</v>
      </c>
      <c r="H259" s="146"/>
      <c r="I259" s="146"/>
      <c r="J259" s="146"/>
      <c r="K259" s="146"/>
      <c r="L259" s="146"/>
      <c r="M259" s="146"/>
      <c r="N259" s="146">
        <v>1</v>
      </c>
      <c r="O259" s="146"/>
      <c r="P259" s="146">
        <v>1</v>
      </c>
      <c r="Q259" s="146"/>
      <c r="R259" s="146"/>
      <c r="S259" s="146"/>
      <c r="T259" s="146"/>
    </row>
    <row r="260" spans="1:20" x14ac:dyDescent="0.3">
      <c r="A260" s="146" t="s">
        <v>174</v>
      </c>
      <c r="B260" s="146" t="s">
        <v>2211</v>
      </c>
      <c r="C260" s="146" t="s">
        <v>2099</v>
      </c>
      <c r="D260" s="146">
        <v>1</v>
      </c>
      <c r="E260" s="146">
        <v>1</v>
      </c>
      <c r="F260" s="146">
        <v>1</v>
      </c>
      <c r="G260" s="146">
        <v>1</v>
      </c>
      <c r="H260" s="146">
        <v>1</v>
      </c>
      <c r="I260" s="146">
        <v>1</v>
      </c>
      <c r="J260" s="146">
        <v>1</v>
      </c>
      <c r="K260" s="146"/>
      <c r="L260" s="146"/>
      <c r="M260" s="146"/>
      <c r="N260" s="146">
        <v>1</v>
      </c>
      <c r="O260" s="146"/>
      <c r="P260" s="146">
        <v>1</v>
      </c>
      <c r="Q260" s="146"/>
      <c r="R260" s="146"/>
      <c r="S260" s="146"/>
      <c r="T260" s="146"/>
    </row>
    <row r="261" spans="1:20" x14ac:dyDescent="0.3">
      <c r="A261" s="146" t="s">
        <v>155</v>
      </c>
      <c r="B261" s="146" t="s">
        <v>2212</v>
      </c>
      <c r="C261" s="146" t="s">
        <v>2102</v>
      </c>
      <c r="D261" s="146">
        <v>1</v>
      </c>
      <c r="E261" s="146">
        <v>1</v>
      </c>
      <c r="F261" s="146"/>
      <c r="G261" s="146">
        <v>1</v>
      </c>
      <c r="H261" s="146">
        <v>1</v>
      </c>
      <c r="I261" s="146">
        <v>1</v>
      </c>
      <c r="J261" s="146"/>
      <c r="K261" s="146"/>
      <c r="L261" s="146"/>
      <c r="M261" s="146"/>
      <c r="N261" s="146">
        <v>1</v>
      </c>
      <c r="O261" s="146"/>
      <c r="P261" s="146">
        <v>1</v>
      </c>
      <c r="Q261" s="146"/>
      <c r="R261" s="146"/>
      <c r="S261" s="146"/>
      <c r="T261" s="146"/>
    </row>
    <row r="262" spans="1:20" x14ac:dyDescent="0.3">
      <c r="A262" s="146" t="s">
        <v>153</v>
      </c>
      <c r="B262" s="146" t="s">
        <v>2213</v>
      </c>
      <c r="C262" s="146" t="s">
        <v>149</v>
      </c>
      <c r="D262" s="146">
        <v>1</v>
      </c>
      <c r="E262" s="146">
        <v>1</v>
      </c>
      <c r="F262" s="146">
        <v>1</v>
      </c>
      <c r="G262" s="146">
        <v>1</v>
      </c>
      <c r="H262" s="146">
        <v>1</v>
      </c>
      <c r="I262" s="146">
        <v>1</v>
      </c>
      <c r="J262" s="146">
        <v>1</v>
      </c>
      <c r="K262" s="146"/>
      <c r="L262" s="146"/>
      <c r="M262" s="146"/>
      <c r="N262" s="146">
        <v>1</v>
      </c>
      <c r="O262" s="146"/>
      <c r="P262" s="146">
        <v>1</v>
      </c>
      <c r="Q262" s="146"/>
      <c r="R262" s="146"/>
      <c r="S262" s="146"/>
      <c r="T262" s="146"/>
    </row>
    <row r="263" spans="1:20" x14ac:dyDescent="0.3">
      <c r="A263" s="146" t="s">
        <v>177</v>
      </c>
      <c r="B263" s="146" t="s">
        <v>210</v>
      </c>
      <c r="C263" s="146" t="s">
        <v>2106</v>
      </c>
      <c r="D263" s="146">
        <v>1</v>
      </c>
      <c r="E263" s="146">
        <v>1</v>
      </c>
      <c r="F263" s="146">
        <v>1</v>
      </c>
      <c r="G263" s="146">
        <v>1</v>
      </c>
      <c r="H263" s="146">
        <v>1</v>
      </c>
      <c r="I263" s="146">
        <v>1</v>
      </c>
      <c r="J263" s="146">
        <v>1</v>
      </c>
      <c r="K263" s="146">
        <v>1</v>
      </c>
      <c r="L263" s="146">
        <v>1</v>
      </c>
      <c r="M263" s="146"/>
      <c r="N263" s="146">
        <v>1</v>
      </c>
      <c r="O263" s="146">
        <v>1</v>
      </c>
      <c r="P263" s="146">
        <v>1</v>
      </c>
      <c r="Q263" s="146"/>
      <c r="R263" s="146"/>
      <c r="S263" s="146"/>
      <c r="T263" s="146"/>
    </row>
    <row r="264" spans="1:20" x14ac:dyDescent="0.3">
      <c r="A264" s="146" t="s">
        <v>181</v>
      </c>
      <c r="B264" s="146" t="s">
        <v>1523</v>
      </c>
      <c r="C264" s="146" t="s">
        <v>2099</v>
      </c>
      <c r="D264" s="146">
        <v>1</v>
      </c>
      <c r="E264" s="146">
        <v>1</v>
      </c>
      <c r="F264" s="146"/>
      <c r="G264" s="146">
        <v>1</v>
      </c>
      <c r="H264" s="146">
        <v>1</v>
      </c>
      <c r="I264" s="146">
        <v>1</v>
      </c>
      <c r="J264" s="146">
        <v>1</v>
      </c>
      <c r="K264" s="146"/>
      <c r="L264" s="146"/>
      <c r="M264" s="146"/>
      <c r="N264" s="146">
        <v>1</v>
      </c>
      <c r="O264" s="146"/>
      <c r="P264" s="146">
        <v>1</v>
      </c>
      <c r="Q264" s="146"/>
      <c r="R264" s="146"/>
      <c r="S264" s="146"/>
      <c r="T264" s="146"/>
    </row>
    <row r="265" spans="1:20" x14ac:dyDescent="0.3">
      <c r="A265" s="146" t="s">
        <v>188</v>
      </c>
      <c r="B265" s="146" t="s">
        <v>2214</v>
      </c>
      <c r="C265" s="146" t="s">
        <v>2102</v>
      </c>
      <c r="D265" s="146">
        <v>1</v>
      </c>
      <c r="E265" s="146"/>
      <c r="F265" s="146"/>
      <c r="G265" s="146">
        <v>1</v>
      </c>
      <c r="H265" s="146"/>
      <c r="I265" s="146"/>
      <c r="J265" s="146"/>
      <c r="K265" s="146"/>
      <c r="L265" s="146"/>
      <c r="M265" s="146"/>
      <c r="N265" s="146">
        <v>1</v>
      </c>
      <c r="O265" s="146"/>
      <c r="P265" s="146">
        <v>1</v>
      </c>
      <c r="Q265" s="146"/>
      <c r="R265" s="146"/>
      <c r="S265" s="146"/>
      <c r="T265" s="146"/>
    </row>
    <row r="266" spans="1:20" x14ac:dyDescent="0.3">
      <c r="A266" s="146" t="s">
        <v>177</v>
      </c>
      <c r="B266" s="146" t="s">
        <v>1227</v>
      </c>
      <c r="C266" s="146" t="s">
        <v>2099</v>
      </c>
      <c r="D266" s="146">
        <v>1</v>
      </c>
      <c r="E266" s="146">
        <v>1</v>
      </c>
      <c r="F266" s="146"/>
      <c r="G266" s="146">
        <v>1</v>
      </c>
      <c r="H266" s="146">
        <v>1</v>
      </c>
      <c r="I266" s="146">
        <v>1</v>
      </c>
      <c r="J266" s="146">
        <v>1</v>
      </c>
      <c r="K266" s="146"/>
      <c r="L266" s="146"/>
      <c r="M266" s="146"/>
      <c r="N266" s="146">
        <v>1</v>
      </c>
      <c r="O266" s="146"/>
      <c r="P266" s="146">
        <v>1</v>
      </c>
      <c r="Q266" s="146"/>
      <c r="R266" s="146"/>
      <c r="S266" s="146"/>
      <c r="T266" s="146"/>
    </row>
    <row r="267" spans="1:20" x14ac:dyDescent="0.3">
      <c r="A267" s="146" t="s">
        <v>178</v>
      </c>
      <c r="B267" s="146" t="s">
        <v>211</v>
      </c>
      <c r="C267" s="146" t="s">
        <v>2106</v>
      </c>
      <c r="D267" s="146">
        <v>1</v>
      </c>
      <c r="E267" s="146">
        <v>1</v>
      </c>
      <c r="F267" s="146">
        <v>1</v>
      </c>
      <c r="G267" s="146">
        <v>1</v>
      </c>
      <c r="H267" s="146">
        <v>1</v>
      </c>
      <c r="I267" s="146">
        <v>1</v>
      </c>
      <c r="J267" s="146">
        <v>1</v>
      </c>
      <c r="K267" s="146">
        <v>1</v>
      </c>
      <c r="L267" s="146">
        <v>1</v>
      </c>
      <c r="M267" s="146">
        <v>1</v>
      </c>
      <c r="N267" s="146">
        <v>1</v>
      </c>
      <c r="O267" s="146"/>
      <c r="P267" s="146">
        <v>1</v>
      </c>
      <c r="Q267" s="146">
        <v>1</v>
      </c>
      <c r="R267" s="146"/>
      <c r="S267" s="146">
        <v>1</v>
      </c>
      <c r="T267" s="146"/>
    </row>
    <row r="268" spans="1:20" x14ac:dyDescent="0.3">
      <c r="A268" s="146" t="s">
        <v>168</v>
      </c>
      <c r="B268" s="146" t="s">
        <v>830</v>
      </c>
      <c r="C268" s="146" t="s">
        <v>2099</v>
      </c>
      <c r="D268" s="146">
        <v>1</v>
      </c>
      <c r="E268" s="146">
        <v>1</v>
      </c>
      <c r="F268" s="146"/>
      <c r="G268" s="146">
        <v>1</v>
      </c>
      <c r="H268" s="146">
        <v>1</v>
      </c>
      <c r="I268" s="146">
        <v>1</v>
      </c>
      <c r="J268" s="146"/>
      <c r="K268" s="146"/>
      <c r="L268" s="146"/>
      <c r="M268" s="146"/>
      <c r="N268" s="146">
        <v>1</v>
      </c>
      <c r="O268" s="146"/>
      <c r="P268" s="146">
        <v>1</v>
      </c>
      <c r="Q268" s="146"/>
      <c r="R268" s="146"/>
      <c r="S268" s="146"/>
      <c r="T268" s="146"/>
    </row>
    <row r="269" spans="1:20" x14ac:dyDescent="0.3">
      <c r="A269" s="146" t="s">
        <v>169</v>
      </c>
      <c r="B269" s="146" t="s">
        <v>901</v>
      </c>
      <c r="C269" s="146" t="s">
        <v>2099</v>
      </c>
      <c r="D269" s="146">
        <v>1</v>
      </c>
      <c r="E269" s="146">
        <v>1</v>
      </c>
      <c r="F269" s="146"/>
      <c r="G269" s="146">
        <v>1</v>
      </c>
      <c r="H269" s="146">
        <v>1</v>
      </c>
      <c r="I269" s="146">
        <v>1</v>
      </c>
      <c r="J269" s="146"/>
      <c r="K269" s="146"/>
      <c r="L269" s="146"/>
      <c r="M269" s="146"/>
      <c r="N269" s="146">
        <v>1</v>
      </c>
      <c r="O269" s="146"/>
      <c r="P269" s="146">
        <v>1</v>
      </c>
      <c r="Q269" s="146"/>
      <c r="R269" s="146"/>
      <c r="S269" s="146"/>
      <c r="T269" s="146"/>
    </row>
    <row r="270" spans="1:20" x14ac:dyDescent="0.3">
      <c r="A270" s="146" t="s">
        <v>177</v>
      </c>
      <c r="B270" s="146" t="s">
        <v>1229</v>
      </c>
      <c r="C270" s="146" t="s">
        <v>2099</v>
      </c>
      <c r="D270" s="146">
        <v>1</v>
      </c>
      <c r="E270" s="146">
        <v>1</v>
      </c>
      <c r="F270" s="146"/>
      <c r="G270" s="146">
        <v>1</v>
      </c>
      <c r="H270" s="146">
        <v>1</v>
      </c>
      <c r="I270" s="146">
        <v>1</v>
      </c>
      <c r="J270" s="146"/>
      <c r="K270" s="146"/>
      <c r="L270" s="146"/>
      <c r="M270" s="146"/>
      <c r="N270" s="146">
        <v>1</v>
      </c>
      <c r="O270" s="146"/>
      <c r="P270" s="146">
        <v>1</v>
      </c>
      <c r="Q270" s="146"/>
      <c r="R270" s="146"/>
      <c r="S270" s="146"/>
      <c r="T270" s="146"/>
    </row>
    <row r="271" spans="1:20" x14ac:dyDescent="0.3">
      <c r="A271" s="146" t="s">
        <v>168</v>
      </c>
      <c r="B271" s="146" t="s">
        <v>831</v>
      </c>
      <c r="C271" s="146" t="s">
        <v>2099</v>
      </c>
      <c r="D271" s="146">
        <v>1</v>
      </c>
      <c r="E271" s="146"/>
      <c r="F271" s="146"/>
      <c r="G271" s="146">
        <v>1</v>
      </c>
      <c r="H271" s="146"/>
      <c r="I271" s="146"/>
      <c r="J271" s="146"/>
      <c r="K271" s="146"/>
      <c r="L271" s="146"/>
      <c r="M271" s="146"/>
      <c r="N271" s="146">
        <v>1</v>
      </c>
      <c r="O271" s="146"/>
      <c r="P271" s="146">
        <v>1</v>
      </c>
      <c r="Q271" s="146"/>
      <c r="R271" s="146">
        <v>1</v>
      </c>
      <c r="S271" s="146"/>
      <c r="T271" s="146"/>
    </row>
    <row r="272" spans="1:20" x14ac:dyDescent="0.3">
      <c r="A272" s="146" t="s">
        <v>184</v>
      </c>
      <c r="B272" s="146" t="s">
        <v>2215</v>
      </c>
      <c r="C272" s="146" t="s">
        <v>2102</v>
      </c>
      <c r="D272" s="146">
        <v>1</v>
      </c>
      <c r="E272" s="146"/>
      <c r="F272" s="146"/>
      <c r="G272" s="146">
        <v>1</v>
      </c>
      <c r="H272" s="146"/>
      <c r="I272" s="146"/>
      <c r="J272" s="146"/>
      <c r="K272" s="146"/>
      <c r="L272" s="146"/>
      <c r="M272" s="146"/>
      <c r="N272" s="146">
        <v>1</v>
      </c>
      <c r="O272" s="146"/>
      <c r="P272" s="146">
        <v>1</v>
      </c>
      <c r="Q272" s="146"/>
      <c r="R272" s="146"/>
      <c r="S272" s="146"/>
      <c r="T272" s="146"/>
    </row>
    <row r="273" spans="1:20" x14ac:dyDescent="0.3">
      <c r="A273" s="146" t="s">
        <v>180</v>
      </c>
      <c r="B273" s="146" t="s">
        <v>2216</v>
      </c>
      <c r="C273" s="146" t="s">
        <v>2099</v>
      </c>
      <c r="D273" s="146">
        <v>1</v>
      </c>
      <c r="E273" s="146"/>
      <c r="F273" s="146"/>
      <c r="G273" s="146">
        <v>1</v>
      </c>
      <c r="H273" s="146"/>
      <c r="I273" s="146"/>
      <c r="J273" s="146"/>
      <c r="K273" s="146"/>
      <c r="L273" s="146"/>
      <c r="M273" s="146"/>
      <c r="N273" s="146">
        <v>1</v>
      </c>
      <c r="O273" s="146"/>
      <c r="P273" s="146">
        <v>1</v>
      </c>
      <c r="Q273" s="146"/>
      <c r="R273" s="146"/>
      <c r="S273" s="146"/>
      <c r="T273" s="146"/>
    </row>
    <row r="274" spans="1:20" x14ac:dyDescent="0.3">
      <c r="A274" s="146" t="s">
        <v>167</v>
      </c>
      <c r="B274" s="146" t="s">
        <v>2217</v>
      </c>
      <c r="C274" s="146" t="s">
        <v>2099</v>
      </c>
      <c r="D274" s="146">
        <v>1</v>
      </c>
      <c r="E274" s="146">
        <v>1</v>
      </c>
      <c r="F274" s="146"/>
      <c r="G274" s="146">
        <v>1</v>
      </c>
      <c r="H274" s="146">
        <v>1</v>
      </c>
      <c r="I274" s="146">
        <v>1</v>
      </c>
      <c r="J274" s="146"/>
      <c r="K274" s="146"/>
      <c r="L274" s="146"/>
      <c r="M274" s="146"/>
      <c r="N274" s="146">
        <v>1</v>
      </c>
      <c r="O274" s="146"/>
      <c r="P274" s="146">
        <v>1</v>
      </c>
      <c r="Q274" s="146"/>
      <c r="R274" s="146"/>
      <c r="S274" s="146"/>
      <c r="T274" s="146"/>
    </row>
    <row r="275" spans="1:20" x14ac:dyDescent="0.3">
      <c r="A275" s="146" t="s">
        <v>170</v>
      </c>
      <c r="B275" s="146" t="s">
        <v>2218</v>
      </c>
      <c r="C275" s="146" t="s">
        <v>2102</v>
      </c>
      <c r="D275" s="146">
        <v>1</v>
      </c>
      <c r="E275" s="146"/>
      <c r="F275" s="146"/>
      <c r="G275" s="146">
        <v>1</v>
      </c>
      <c r="H275" s="146"/>
      <c r="I275" s="146"/>
      <c r="J275" s="146">
        <v>1</v>
      </c>
      <c r="K275" s="146"/>
      <c r="L275" s="146"/>
      <c r="M275" s="146"/>
      <c r="N275" s="146">
        <v>1</v>
      </c>
      <c r="O275" s="146"/>
      <c r="P275" s="146">
        <v>1</v>
      </c>
      <c r="Q275" s="146"/>
      <c r="R275" s="146"/>
      <c r="S275" s="146"/>
      <c r="T275" s="146"/>
    </row>
    <row r="276" spans="1:20" x14ac:dyDescent="0.3">
      <c r="A276" s="146" t="s">
        <v>179</v>
      </c>
      <c r="B276" s="146" t="s">
        <v>2219</v>
      </c>
      <c r="C276" s="146" t="s">
        <v>2102</v>
      </c>
      <c r="D276" s="146">
        <v>1</v>
      </c>
      <c r="E276" s="146"/>
      <c r="F276" s="146"/>
      <c r="G276" s="146">
        <v>1</v>
      </c>
      <c r="H276" s="146"/>
      <c r="I276" s="146"/>
      <c r="J276" s="146"/>
      <c r="K276" s="146"/>
      <c r="L276" s="146"/>
      <c r="M276" s="146"/>
      <c r="N276" s="146">
        <v>1</v>
      </c>
      <c r="O276" s="146"/>
      <c r="P276" s="146">
        <v>1</v>
      </c>
      <c r="Q276" s="146"/>
      <c r="R276" s="146"/>
      <c r="S276" s="146"/>
      <c r="T276" s="146"/>
    </row>
    <row r="277" spans="1:20" x14ac:dyDescent="0.3">
      <c r="A277" s="146" t="s">
        <v>170</v>
      </c>
      <c r="B277" s="146" t="s">
        <v>2220</v>
      </c>
      <c r="C277" s="146" t="s">
        <v>2102</v>
      </c>
      <c r="D277" s="146">
        <v>1</v>
      </c>
      <c r="E277" s="146"/>
      <c r="F277" s="146"/>
      <c r="G277" s="146">
        <v>1</v>
      </c>
      <c r="H277" s="146">
        <v>1</v>
      </c>
      <c r="I277" s="146">
        <v>1</v>
      </c>
      <c r="J277" s="146"/>
      <c r="K277" s="146"/>
      <c r="L277" s="146"/>
      <c r="M277" s="146"/>
      <c r="N277" s="146">
        <v>1</v>
      </c>
      <c r="O277" s="146"/>
      <c r="P277" s="146">
        <v>1</v>
      </c>
      <c r="Q277" s="146"/>
      <c r="R277" s="146"/>
      <c r="S277" s="146"/>
      <c r="T277" s="146"/>
    </row>
    <row r="278" spans="1:20" x14ac:dyDescent="0.3">
      <c r="A278" s="146" t="s">
        <v>2221</v>
      </c>
      <c r="B278" s="146" t="s">
        <v>2222</v>
      </c>
      <c r="C278" s="146" t="s">
        <v>2102</v>
      </c>
      <c r="D278" s="146">
        <v>1</v>
      </c>
      <c r="E278" s="146"/>
      <c r="F278" s="146"/>
      <c r="G278" s="146">
        <v>1</v>
      </c>
      <c r="H278" s="146"/>
      <c r="I278" s="146"/>
      <c r="J278" s="146"/>
      <c r="K278" s="146"/>
      <c r="L278" s="146"/>
      <c r="M278" s="146"/>
      <c r="N278" s="146">
        <v>1</v>
      </c>
      <c r="O278" s="146"/>
      <c r="P278" s="146">
        <v>1</v>
      </c>
      <c r="Q278" s="146"/>
      <c r="R278" s="146"/>
      <c r="S278" s="146"/>
      <c r="T278" s="146"/>
    </row>
    <row r="279" spans="1:20" x14ac:dyDescent="0.3">
      <c r="A279" s="146" t="s">
        <v>153</v>
      </c>
      <c r="B279" s="146" t="s">
        <v>296</v>
      </c>
      <c r="C279" s="146" t="s">
        <v>2099</v>
      </c>
      <c r="D279" s="146">
        <v>1</v>
      </c>
      <c r="E279" s="146">
        <v>1</v>
      </c>
      <c r="F279" s="146"/>
      <c r="G279" s="146">
        <v>1</v>
      </c>
      <c r="H279" s="146">
        <v>1</v>
      </c>
      <c r="I279" s="146">
        <v>1</v>
      </c>
      <c r="J279" s="146">
        <v>1</v>
      </c>
      <c r="K279" s="146"/>
      <c r="L279" s="146"/>
      <c r="M279" s="146"/>
      <c r="N279" s="146">
        <v>1</v>
      </c>
      <c r="O279" s="146"/>
      <c r="P279" s="146">
        <v>1</v>
      </c>
      <c r="Q279" s="146"/>
      <c r="R279" s="146"/>
      <c r="S279" s="146"/>
      <c r="T279" s="146"/>
    </row>
    <row r="280" spans="1:20" x14ac:dyDescent="0.3">
      <c r="A280" s="146" t="s">
        <v>188</v>
      </c>
      <c r="B280" s="146" t="s">
        <v>1703</v>
      </c>
      <c r="C280" s="146" t="s">
        <v>2106</v>
      </c>
      <c r="D280" s="146">
        <v>1</v>
      </c>
      <c r="E280" s="146">
        <v>1</v>
      </c>
      <c r="F280" s="146">
        <v>1</v>
      </c>
      <c r="G280" s="146">
        <v>1</v>
      </c>
      <c r="H280" s="146">
        <v>1</v>
      </c>
      <c r="I280" s="146">
        <v>1</v>
      </c>
      <c r="J280" s="146">
        <v>1</v>
      </c>
      <c r="K280" s="146"/>
      <c r="L280" s="146">
        <v>1</v>
      </c>
      <c r="M280" s="146">
        <v>1</v>
      </c>
      <c r="N280" s="146">
        <v>1</v>
      </c>
      <c r="O280" s="146"/>
      <c r="P280" s="146">
        <v>1</v>
      </c>
      <c r="Q280" s="146"/>
      <c r="R280" s="146"/>
      <c r="S280" s="146"/>
      <c r="T280" s="146"/>
    </row>
    <row r="281" spans="1:20" x14ac:dyDescent="0.3">
      <c r="A281" s="146" t="s">
        <v>193</v>
      </c>
      <c r="B281" s="146" t="s">
        <v>1838</v>
      </c>
      <c r="C281" s="146" t="s">
        <v>2099</v>
      </c>
      <c r="D281" s="146">
        <v>1</v>
      </c>
      <c r="E281" s="146"/>
      <c r="F281" s="146"/>
      <c r="G281" s="146">
        <v>1</v>
      </c>
      <c r="H281" s="146"/>
      <c r="I281" s="146"/>
      <c r="J281" s="146"/>
      <c r="K281" s="146"/>
      <c r="L281" s="146"/>
      <c r="M281" s="146"/>
      <c r="N281" s="146">
        <v>1</v>
      </c>
      <c r="O281" s="146"/>
      <c r="P281" s="146">
        <v>1</v>
      </c>
      <c r="Q281" s="146"/>
      <c r="R281" s="146"/>
      <c r="S281" s="146"/>
      <c r="T281" s="146"/>
    </row>
    <row r="282" spans="1:20" x14ac:dyDescent="0.3">
      <c r="A282" s="146" t="s">
        <v>180</v>
      </c>
      <c r="B282" s="146" t="s">
        <v>1433</v>
      </c>
      <c r="C282" s="146" t="s">
        <v>2099</v>
      </c>
      <c r="D282" s="146">
        <v>1</v>
      </c>
      <c r="E282" s="146">
        <v>1</v>
      </c>
      <c r="F282" s="146">
        <v>1</v>
      </c>
      <c r="G282" s="146">
        <v>1</v>
      </c>
      <c r="H282" s="146">
        <v>1</v>
      </c>
      <c r="I282" s="146">
        <v>1</v>
      </c>
      <c r="J282" s="146">
        <v>1</v>
      </c>
      <c r="K282" s="146"/>
      <c r="L282" s="146"/>
      <c r="M282" s="146"/>
      <c r="N282" s="146">
        <v>1</v>
      </c>
      <c r="O282" s="146"/>
      <c r="P282" s="146">
        <v>1</v>
      </c>
      <c r="Q282" s="146"/>
      <c r="R282" s="146"/>
      <c r="S282" s="146"/>
      <c r="T282" s="146"/>
    </row>
    <row r="283" spans="1:20" x14ac:dyDescent="0.3">
      <c r="A283" s="146" t="s">
        <v>164</v>
      </c>
      <c r="B283" s="146" t="s">
        <v>2223</v>
      </c>
      <c r="C283" s="146" t="s">
        <v>2102</v>
      </c>
      <c r="D283" s="146">
        <v>1</v>
      </c>
      <c r="E283" s="146"/>
      <c r="F283" s="146"/>
      <c r="G283" s="146">
        <v>1</v>
      </c>
      <c r="H283" s="146"/>
      <c r="I283" s="146"/>
      <c r="J283" s="146"/>
      <c r="K283" s="146"/>
      <c r="L283" s="146"/>
      <c r="M283" s="146"/>
      <c r="N283" s="146">
        <v>1</v>
      </c>
      <c r="O283" s="146"/>
      <c r="P283" s="146">
        <v>1</v>
      </c>
      <c r="Q283" s="146"/>
      <c r="R283" s="146"/>
      <c r="S283" s="146"/>
      <c r="T283" s="146"/>
    </row>
    <row r="284" spans="1:20" x14ac:dyDescent="0.3">
      <c r="A284" s="146" t="s">
        <v>181</v>
      </c>
      <c r="B284" s="146" t="s">
        <v>1527</v>
      </c>
      <c r="C284" s="146" t="s">
        <v>2099</v>
      </c>
      <c r="D284" s="146">
        <v>1</v>
      </c>
      <c r="E284" s="146">
        <v>1</v>
      </c>
      <c r="F284" s="146"/>
      <c r="G284" s="146">
        <v>1</v>
      </c>
      <c r="H284" s="146">
        <v>1</v>
      </c>
      <c r="I284" s="146">
        <v>1</v>
      </c>
      <c r="J284" s="146"/>
      <c r="K284" s="146"/>
      <c r="L284" s="146"/>
      <c r="M284" s="146"/>
      <c r="N284" s="146">
        <v>1</v>
      </c>
      <c r="O284" s="146"/>
      <c r="P284" s="146">
        <v>1</v>
      </c>
      <c r="Q284" s="146"/>
      <c r="R284" s="146"/>
      <c r="S284" s="146"/>
      <c r="T284" s="146"/>
    </row>
    <row r="285" spans="1:20" x14ac:dyDescent="0.3">
      <c r="A285" s="146" t="s">
        <v>179</v>
      </c>
      <c r="B285" s="146" t="s">
        <v>1328</v>
      </c>
      <c r="C285" s="146" t="s">
        <v>2099</v>
      </c>
      <c r="D285" s="146">
        <v>1</v>
      </c>
      <c r="E285" s="146"/>
      <c r="F285" s="146"/>
      <c r="G285" s="146">
        <v>1</v>
      </c>
      <c r="H285" s="146"/>
      <c r="I285" s="146"/>
      <c r="J285" s="146">
        <v>1</v>
      </c>
      <c r="K285" s="146"/>
      <c r="L285" s="146"/>
      <c r="M285" s="146"/>
      <c r="N285" s="146">
        <v>1</v>
      </c>
      <c r="O285" s="146"/>
      <c r="P285" s="146">
        <v>1</v>
      </c>
      <c r="Q285" s="146"/>
      <c r="R285" s="146"/>
      <c r="S285" s="146"/>
      <c r="T285" s="146"/>
    </row>
    <row r="286" spans="1:20" x14ac:dyDescent="0.3">
      <c r="A286" s="146" t="s">
        <v>170</v>
      </c>
      <c r="B286" s="146" t="s">
        <v>958</v>
      </c>
      <c r="C286" s="146" t="s">
        <v>2106</v>
      </c>
      <c r="D286" s="146">
        <v>1</v>
      </c>
      <c r="E286" s="146">
        <v>1</v>
      </c>
      <c r="F286" s="146">
        <v>1</v>
      </c>
      <c r="G286" s="146">
        <v>1</v>
      </c>
      <c r="H286" s="146">
        <v>1</v>
      </c>
      <c r="I286" s="146">
        <v>1</v>
      </c>
      <c r="J286" s="146"/>
      <c r="K286" s="146">
        <v>1</v>
      </c>
      <c r="L286" s="146">
        <v>1</v>
      </c>
      <c r="M286" s="146">
        <v>1</v>
      </c>
      <c r="N286" s="146">
        <v>1</v>
      </c>
      <c r="O286" s="146">
        <v>1</v>
      </c>
      <c r="P286" s="146">
        <v>1</v>
      </c>
      <c r="Q286" s="146">
        <v>1</v>
      </c>
      <c r="R286" s="146"/>
      <c r="S286" s="146"/>
      <c r="T286" s="146"/>
    </row>
    <row r="287" spans="1:20" x14ac:dyDescent="0.3">
      <c r="A287" s="146" t="s">
        <v>155</v>
      </c>
      <c r="B287" s="146" t="s">
        <v>365</v>
      </c>
      <c r="C287" s="146" t="s">
        <v>2099</v>
      </c>
      <c r="D287" s="146">
        <v>1</v>
      </c>
      <c r="E287" s="146">
        <v>1</v>
      </c>
      <c r="F287" s="146"/>
      <c r="G287" s="146">
        <v>1</v>
      </c>
      <c r="H287" s="146">
        <v>1</v>
      </c>
      <c r="I287" s="146">
        <v>1</v>
      </c>
      <c r="J287" s="146">
        <v>1</v>
      </c>
      <c r="K287" s="146"/>
      <c r="L287" s="146"/>
      <c r="M287" s="146"/>
      <c r="N287" s="146">
        <v>1</v>
      </c>
      <c r="O287" s="146"/>
      <c r="P287" s="146">
        <v>1</v>
      </c>
      <c r="Q287" s="146"/>
      <c r="R287" s="146"/>
      <c r="S287" s="146"/>
      <c r="T287" s="146"/>
    </row>
    <row r="288" spans="1:20" x14ac:dyDescent="0.3">
      <c r="A288" s="146" t="s">
        <v>185</v>
      </c>
      <c r="B288" s="146" t="s">
        <v>1614</v>
      </c>
      <c r="C288" s="146" t="s">
        <v>2102</v>
      </c>
      <c r="D288" s="146">
        <v>1</v>
      </c>
      <c r="E288" s="146"/>
      <c r="F288" s="146"/>
      <c r="G288" s="146">
        <v>1</v>
      </c>
      <c r="H288" s="146">
        <v>1</v>
      </c>
      <c r="I288" s="146">
        <v>1</v>
      </c>
      <c r="J288" s="146">
        <v>1</v>
      </c>
      <c r="K288" s="146"/>
      <c r="L288" s="146">
        <v>1</v>
      </c>
      <c r="M288" s="146"/>
      <c r="N288" s="146">
        <v>1</v>
      </c>
      <c r="O288" s="146"/>
      <c r="P288" s="146">
        <v>1</v>
      </c>
      <c r="Q288" s="146"/>
      <c r="R288" s="146"/>
      <c r="S288" s="146"/>
      <c r="T288" s="146"/>
    </row>
    <row r="289" spans="1:20" x14ac:dyDescent="0.3">
      <c r="A289" s="146" t="s">
        <v>174</v>
      </c>
      <c r="B289" s="146" t="s">
        <v>2224</v>
      </c>
      <c r="C289" s="146" t="s">
        <v>2099</v>
      </c>
      <c r="D289" s="146">
        <v>1</v>
      </c>
      <c r="E289" s="146">
        <v>1</v>
      </c>
      <c r="F289" s="146">
        <v>1</v>
      </c>
      <c r="G289" s="146">
        <v>1</v>
      </c>
      <c r="H289" s="146">
        <v>1</v>
      </c>
      <c r="I289" s="146">
        <v>1</v>
      </c>
      <c r="J289" s="146">
        <v>1</v>
      </c>
      <c r="K289" s="146"/>
      <c r="L289" s="146"/>
      <c r="M289" s="146"/>
      <c r="N289" s="146">
        <v>1</v>
      </c>
      <c r="O289" s="146"/>
      <c r="P289" s="146">
        <v>1</v>
      </c>
      <c r="Q289" s="146"/>
      <c r="R289" s="146"/>
      <c r="S289" s="146"/>
      <c r="T289" s="146"/>
    </row>
    <row r="290" spans="1:20" x14ac:dyDescent="0.3">
      <c r="A290" s="146" t="s">
        <v>165</v>
      </c>
      <c r="B290" s="146" t="s">
        <v>2225</v>
      </c>
      <c r="C290" s="146" t="s">
        <v>2099</v>
      </c>
      <c r="D290" s="146">
        <v>1</v>
      </c>
      <c r="E290" s="146">
        <v>1</v>
      </c>
      <c r="F290" s="146"/>
      <c r="G290" s="146">
        <v>1</v>
      </c>
      <c r="H290" s="146">
        <v>1</v>
      </c>
      <c r="I290" s="146">
        <v>1</v>
      </c>
      <c r="J290" s="146">
        <v>1</v>
      </c>
      <c r="K290" s="146"/>
      <c r="L290" s="146">
        <v>1</v>
      </c>
      <c r="M290" s="146"/>
      <c r="N290" s="146">
        <v>1</v>
      </c>
      <c r="O290" s="146"/>
      <c r="P290" s="146">
        <v>1</v>
      </c>
      <c r="Q290" s="146"/>
      <c r="R290" s="146"/>
      <c r="S290" s="146"/>
      <c r="T290" s="146"/>
    </row>
    <row r="291" spans="1:20" x14ac:dyDescent="0.3">
      <c r="A291" s="146" t="s">
        <v>168</v>
      </c>
      <c r="B291" s="146" t="s">
        <v>832</v>
      </c>
      <c r="C291" s="146" t="s">
        <v>2099</v>
      </c>
      <c r="D291" s="146">
        <v>1</v>
      </c>
      <c r="E291" s="146">
        <v>1</v>
      </c>
      <c r="F291" s="146"/>
      <c r="G291" s="146">
        <v>1</v>
      </c>
      <c r="H291" s="146">
        <v>1</v>
      </c>
      <c r="I291" s="146">
        <v>1</v>
      </c>
      <c r="J291" s="146">
        <v>1</v>
      </c>
      <c r="K291" s="146"/>
      <c r="L291" s="146"/>
      <c r="M291" s="146"/>
      <c r="N291" s="146">
        <v>1</v>
      </c>
      <c r="O291" s="146"/>
      <c r="P291" s="146">
        <v>1</v>
      </c>
      <c r="Q291" s="146"/>
      <c r="R291" s="146"/>
      <c r="S291" s="146"/>
      <c r="T291" s="146"/>
    </row>
    <row r="292" spans="1:20" x14ac:dyDescent="0.3">
      <c r="A292" s="146" t="s">
        <v>178</v>
      </c>
      <c r="B292" s="146" t="s">
        <v>2226</v>
      </c>
      <c r="C292" s="146" t="s">
        <v>2099</v>
      </c>
      <c r="D292" s="146">
        <v>1</v>
      </c>
      <c r="E292" s="146"/>
      <c r="F292" s="146"/>
      <c r="G292" s="146">
        <v>1</v>
      </c>
      <c r="H292" s="146"/>
      <c r="I292" s="146"/>
      <c r="J292" s="146"/>
      <c r="K292" s="146"/>
      <c r="L292" s="146"/>
      <c r="M292" s="146"/>
      <c r="N292" s="146">
        <v>1</v>
      </c>
      <c r="O292" s="146"/>
      <c r="P292" s="146">
        <v>1</v>
      </c>
      <c r="Q292" s="146"/>
      <c r="R292" s="146">
        <v>1</v>
      </c>
      <c r="S292" s="146"/>
      <c r="T292" s="146"/>
    </row>
    <row r="293" spans="1:20" x14ac:dyDescent="0.3">
      <c r="A293" s="146" t="s">
        <v>198</v>
      </c>
      <c r="B293" s="146" t="s">
        <v>2227</v>
      </c>
      <c r="C293" s="146" t="s">
        <v>149</v>
      </c>
      <c r="D293" s="146">
        <v>1</v>
      </c>
      <c r="E293" s="146">
        <v>1</v>
      </c>
      <c r="F293" s="146">
        <v>1</v>
      </c>
      <c r="G293" s="146">
        <v>1</v>
      </c>
      <c r="H293" s="146">
        <v>1</v>
      </c>
      <c r="I293" s="146">
        <v>1</v>
      </c>
      <c r="J293" s="146">
        <v>1</v>
      </c>
      <c r="K293" s="146">
        <v>1</v>
      </c>
      <c r="L293" s="146"/>
      <c r="M293" s="146"/>
      <c r="N293" s="146">
        <v>1</v>
      </c>
      <c r="O293" s="146"/>
      <c r="P293" s="146">
        <v>1</v>
      </c>
      <c r="Q293" s="146"/>
      <c r="R293" s="146"/>
      <c r="S293" s="146"/>
      <c r="T293" s="146"/>
    </row>
    <row r="294" spans="1:20" x14ac:dyDescent="0.3">
      <c r="A294" s="146" t="s">
        <v>199</v>
      </c>
      <c r="B294" s="146" t="s">
        <v>2228</v>
      </c>
      <c r="C294" s="146" t="s">
        <v>2102</v>
      </c>
      <c r="D294" s="146">
        <v>1</v>
      </c>
      <c r="E294" s="146"/>
      <c r="F294" s="146"/>
      <c r="G294" s="146">
        <v>1</v>
      </c>
      <c r="H294" s="146"/>
      <c r="I294" s="146"/>
      <c r="J294" s="146"/>
      <c r="K294" s="146"/>
      <c r="L294" s="146"/>
      <c r="M294" s="146"/>
      <c r="N294" s="146">
        <v>1</v>
      </c>
      <c r="O294" s="146"/>
      <c r="P294" s="146">
        <v>1</v>
      </c>
      <c r="Q294" s="146"/>
      <c r="R294" s="146"/>
      <c r="S294" s="146"/>
      <c r="T294" s="146"/>
    </row>
    <row r="295" spans="1:20" x14ac:dyDescent="0.3">
      <c r="A295" s="146" t="s">
        <v>185</v>
      </c>
      <c r="B295" s="146" t="s">
        <v>1615</v>
      </c>
      <c r="C295" s="146" t="s">
        <v>2099</v>
      </c>
      <c r="D295" s="146">
        <v>1</v>
      </c>
      <c r="E295" s="146">
        <v>1</v>
      </c>
      <c r="F295" s="146"/>
      <c r="G295" s="146">
        <v>1</v>
      </c>
      <c r="H295" s="146">
        <v>1</v>
      </c>
      <c r="I295" s="146">
        <v>1</v>
      </c>
      <c r="J295" s="146">
        <v>1</v>
      </c>
      <c r="K295" s="146"/>
      <c r="L295" s="146"/>
      <c r="M295" s="146"/>
      <c r="N295" s="146">
        <v>1</v>
      </c>
      <c r="O295" s="146"/>
      <c r="P295" s="146">
        <v>1</v>
      </c>
      <c r="Q295" s="146">
        <v>1</v>
      </c>
      <c r="R295" s="146"/>
      <c r="S295" s="146"/>
      <c r="T295" s="146"/>
    </row>
    <row r="296" spans="1:20" x14ac:dyDescent="0.3">
      <c r="A296" s="146" t="s">
        <v>174</v>
      </c>
      <c r="B296" s="146" t="s">
        <v>2229</v>
      </c>
      <c r="C296" s="146" t="s">
        <v>2099</v>
      </c>
      <c r="D296" s="146">
        <v>1</v>
      </c>
      <c r="E296" s="146"/>
      <c r="F296" s="146"/>
      <c r="G296" s="146">
        <v>1</v>
      </c>
      <c r="H296" s="146"/>
      <c r="I296" s="146"/>
      <c r="J296" s="146"/>
      <c r="K296" s="146"/>
      <c r="L296" s="146"/>
      <c r="M296" s="146"/>
      <c r="N296" s="146">
        <v>1</v>
      </c>
      <c r="O296" s="146"/>
      <c r="P296" s="146">
        <v>1</v>
      </c>
      <c r="Q296" s="146"/>
      <c r="R296" s="146"/>
      <c r="S296" s="146"/>
      <c r="T296" s="146"/>
    </row>
    <row r="297" spans="1:20" x14ac:dyDescent="0.3">
      <c r="A297" s="146" t="s">
        <v>198</v>
      </c>
      <c r="B297" s="146" t="s">
        <v>633</v>
      </c>
      <c r="C297" s="146" t="s">
        <v>2099</v>
      </c>
      <c r="D297" s="146">
        <v>1</v>
      </c>
      <c r="E297" s="146">
        <v>1</v>
      </c>
      <c r="F297" s="146"/>
      <c r="G297" s="146">
        <v>1</v>
      </c>
      <c r="H297" s="146">
        <v>1</v>
      </c>
      <c r="I297" s="146">
        <v>1</v>
      </c>
      <c r="J297" s="146"/>
      <c r="K297" s="146"/>
      <c r="L297" s="146"/>
      <c r="M297" s="146"/>
      <c r="N297" s="146">
        <v>1</v>
      </c>
      <c r="O297" s="146"/>
      <c r="P297" s="146">
        <v>1</v>
      </c>
      <c r="Q297" s="146"/>
      <c r="R297" s="146"/>
      <c r="S297" s="146"/>
      <c r="T297" s="146"/>
    </row>
    <row r="298" spans="1:20" x14ac:dyDescent="0.3">
      <c r="A298" s="146" t="s">
        <v>200</v>
      </c>
      <c r="B298" s="146" t="s">
        <v>2230</v>
      </c>
      <c r="C298" s="146" t="s">
        <v>2106</v>
      </c>
      <c r="D298" s="146">
        <v>1</v>
      </c>
      <c r="E298" s="146">
        <v>1</v>
      </c>
      <c r="F298" s="146">
        <v>1</v>
      </c>
      <c r="G298" s="146">
        <v>1</v>
      </c>
      <c r="H298" s="146">
        <v>1</v>
      </c>
      <c r="I298" s="146">
        <v>1</v>
      </c>
      <c r="J298" s="146">
        <v>1</v>
      </c>
      <c r="K298" s="146">
        <v>1</v>
      </c>
      <c r="L298" s="146">
        <v>1</v>
      </c>
      <c r="M298" s="146">
        <v>1</v>
      </c>
      <c r="N298" s="146">
        <v>1</v>
      </c>
      <c r="O298" s="146">
        <v>1</v>
      </c>
      <c r="P298" s="146">
        <v>1</v>
      </c>
      <c r="Q298" s="146"/>
      <c r="R298" s="146">
        <v>1</v>
      </c>
      <c r="S298" s="146"/>
      <c r="T298" s="146"/>
    </row>
    <row r="299" spans="1:20" x14ac:dyDescent="0.3">
      <c r="A299" s="146" t="s">
        <v>200</v>
      </c>
      <c r="B299" s="146" t="s">
        <v>1390</v>
      </c>
      <c r="C299" s="146" t="s">
        <v>2099</v>
      </c>
      <c r="D299" s="146">
        <v>1</v>
      </c>
      <c r="E299" s="146">
        <v>1</v>
      </c>
      <c r="F299" s="146"/>
      <c r="G299" s="146">
        <v>1</v>
      </c>
      <c r="H299" s="146">
        <v>1</v>
      </c>
      <c r="I299" s="146">
        <v>1</v>
      </c>
      <c r="J299" s="146">
        <v>1</v>
      </c>
      <c r="K299" s="146"/>
      <c r="L299" s="146"/>
      <c r="M299" s="146"/>
      <c r="N299" s="146">
        <v>1</v>
      </c>
      <c r="O299" s="146"/>
      <c r="P299" s="146">
        <v>1</v>
      </c>
      <c r="Q299" s="146"/>
      <c r="R299" s="146"/>
      <c r="S299" s="146"/>
      <c r="T299" s="146"/>
    </row>
    <row r="300" spans="1:20" x14ac:dyDescent="0.3">
      <c r="A300" s="146" t="s">
        <v>169</v>
      </c>
      <c r="B300" s="146" t="s">
        <v>2231</v>
      </c>
      <c r="C300" s="146" t="s">
        <v>2099</v>
      </c>
      <c r="D300" s="146">
        <v>1</v>
      </c>
      <c r="E300" s="146">
        <v>1</v>
      </c>
      <c r="F300" s="146">
        <v>1</v>
      </c>
      <c r="G300" s="146">
        <v>1</v>
      </c>
      <c r="H300" s="146">
        <v>1</v>
      </c>
      <c r="I300" s="146">
        <v>1</v>
      </c>
      <c r="J300" s="146">
        <v>1</v>
      </c>
      <c r="K300" s="146"/>
      <c r="L300" s="146"/>
      <c r="M300" s="146"/>
      <c r="N300" s="146">
        <v>1</v>
      </c>
      <c r="O300" s="146"/>
      <c r="P300" s="146">
        <v>1</v>
      </c>
      <c r="Q300" s="146"/>
      <c r="R300" s="146"/>
      <c r="S300" s="146"/>
      <c r="T300" s="146"/>
    </row>
    <row r="301" spans="1:20" x14ac:dyDescent="0.3">
      <c r="A301" s="146" t="s">
        <v>177</v>
      </c>
      <c r="B301" s="146" t="s">
        <v>1230</v>
      </c>
      <c r="C301" s="146" t="s">
        <v>2099</v>
      </c>
      <c r="D301" s="146">
        <v>1</v>
      </c>
      <c r="E301" s="146">
        <v>1</v>
      </c>
      <c r="F301" s="146"/>
      <c r="G301" s="146">
        <v>1</v>
      </c>
      <c r="H301" s="146">
        <v>1</v>
      </c>
      <c r="I301" s="146">
        <v>1</v>
      </c>
      <c r="J301" s="146"/>
      <c r="K301" s="146"/>
      <c r="L301" s="146"/>
      <c r="M301" s="146"/>
      <c r="N301" s="146">
        <v>1</v>
      </c>
      <c r="O301" s="146"/>
      <c r="P301" s="146">
        <v>1</v>
      </c>
      <c r="Q301" s="146"/>
      <c r="R301" s="146"/>
      <c r="S301" s="146"/>
      <c r="T301" s="146"/>
    </row>
    <row r="302" spans="1:20" x14ac:dyDescent="0.3">
      <c r="A302" s="146" t="s">
        <v>169</v>
      </c>
      <c r="B302" s="146" t="s">
        <v>902</v>
      </c>
      <c r="C302" s="146" t="s">
        <v>2099</v>
      </c>
      <c r="D302" s="146">
        <v>1</v>
      </c>
      <c r="E302" s="146">
        <v>1</v>
      </c>
      <c r="F302" s="146"/>
      <c r="G302" s="146">
        <v>1</v>
      </c>
      <c r="H302" s="146">
        <v>1</v>
      </c>
      <c r="I302" s="146">
        <v>1</v>
      </c>
      <c r="J302" s="146"/>
      <c r="K302" s="146"/>
      <c r="L302" s="146"/>
      <c r="M302" s="146"/>
      <c r="N302" s="146">
        <v>1</v>
      </c>
      <c r="O302" s="146"/>
      <c r="P302" s="146">
        <v>1</v>
      </c>
      <c r="Q302" s="146"/>
      <c r="R302" s="146"/>
      <c r="S302" s="146"/>
      <c r="T302" s="146"/>
    </row>
    <row r="303" spans="1:20" x14ac:dyDescent="0.3">
      <c r="A303" s="146" t="s">
        <v>173</v>
      </c>
      <c r="B303" s="146" t="s">
        <v>1050</v>
      </c>
      <c r="C303" s="146" t="s">
        <v>2099</v>
      </c>
      <c r="D303" s="146">
        <v>1</v>
      </c>
      <c r="E303" s="146"/>
      <c r="F303" s="146"/>
      <c r="G303" s="146">
        <v>1</v>
      </c>
      <c r="H303" s="146"/>
      <c r="I303" s="146"/>
      <c r="J303" s="146"/>
      <c r="K303" s="146"/>
      <c r="L303" s="146"/>
      <c r="M303" s="146"/>
      <c r="N303" s="146">
        <v>1</v>
      </c>
      <c r="O303" s="146"/>
      <c r="P303" s="146">
        <v>1</v>
      </c>
      <c r="Q303" s="146"/>
      <c r="R303" s="146"/>
      <c r="S303" s="146"/>
      <c r="T303" s="146"/>
    </row>
    <row r="304" spans="1:20" x14ac:dyDescent="0.3">
      <c r="A304" s="146" t="s">
        <v>169</v>
      </c>
      <c r="B304" s="146" t="s">
        <v>903</v>
      </c>
      <c r="C304" s="146" t="s">
        <v>2099</v>
      </c>
      <c r="D304" s="146">
        <v>1</v>
      </c>
      <c r="E304" s="146"/>
      <c r="F304" s="146">
        <v>1</v>
      </c>
      <c r="G304" s="146">
        <v>1</v>
      </c>
      <c r="H304" s="146"/>
      <c r="I304" s="146"/>
      <c r="J304" s="146"/>
      <c r="K304" s="146"/>
      <c r="L304" s="146"/>
      <c r="M304" s="146"/>
      <c r="N304" s="146">
        <v>1</v>
      </c>
      <c r="O304" s="146"/>
      <c r="P304" s="146">
        <v>1</v>
      </c>
      <c r="Q304" s="146"/>
      <c r="R304" s="146"/>
      <c r="S304" s="146"/>
      <c r="T304" s="146"/>
    </row>
    <row r="305" spans="1:20" x14ac:dyDescent="0.3">
      <c r="A305" s="146" t="s">
        <v>177</v>
      </c>
      <c r="B305" s="146" t="s">
        <v>1231</v>
      </c>
      <c r="C305" s="146" t="s">
        <v>2099</v>
      </c>
      <c r="D305" s="146">
        <v>1</v>
      </c>
      <c r="E305" s="146">
        <v>1</v>
      </c>
      <c r="F305" s="146"/>
      <c r="G305" s="146">
        <v>1</v>
      </c>
      <c r="H305" s="146">
        <v>1</v>
      </c>
      <c r="I305" s="146"/>
      <c r="J305" s="146">
        <v>1</v>
      </c>
      <c r="K305" s="146"/>
      <c r="L305" s="146"/>
      <c r="M305" s="146"/>
      <c r="N305" s="146">
        <v>1</v>
      </c>
      <c r="O305" s="146"/>
      <c r="P305" s="146">
        <v>1</v>
      </c>
      <c r="Q305" s="146"/>
      <c r="R305" s="146"/>
      <c r="S305" s="146"/>
      <c r="T305" s="146"/>
    </row>
    <row r="306" spans="1:20" x14ac:dyDescent="0.3">
      <c r="A306" s="146" t="s">
        <v>199</v>
      </c>
      <c r="B306" s="146" t="s">
        <v>1409</v>
      </c>
      <c r="C306" s="146" t="s">
        <v>2099</v>
      </c>
      <c r="D306" s="146">
        <v>1</v>
      </c>
      <c r="E306" s="146"/>
      <c r="F306" s="146">
        <v>1</v>
      </c>
      <c r="G306" s="146">
        <v>1</v>
      </c>
      <c r="H306" s="146"/>
      <c r="I306" s="146"/>
      <c r="J306" s="146">
        <v>1</v>
      </c>
      <c r="K306" s="146"/>
      <c r="L306" s="146"/>
      <c r="M306" s="146"/>
      <c r="N306" s="146">
        <v>1</v>
      </c>
      <c r="O306" s="146"/>
      <c r="P306" s="146">
        <v>1</v>
      </c>
      <c r="Q306" s="146"/>
      <c r="R306" s="146"/>
      <c r="S306" s="146"/>
      <c r="T306" s="146"/>
    </row>
    <row r="307" spans="1:20" x14ac:dyDescent="0.3">
      <c r="A307" s="146" t="s">
        <v>174</v>
      </c>
      <c r="B307" s="146" t="s">
        <v>1113</v>
      </c>
      <c r="C307" s="146" t="s">
        <v>2099</v>
      </c>
      <c r="D307" s="146">
        <v>1</v>
      </c>
      <c r="E307" s="146"/>
      <c r="F307" s="146"/>
      <c r="G307" s="146">
        <v>1</v>
      </c>
      <c r="H307" s="146"/>
      <c r="I307" s="146"/>
      <c r="J307" s="146"/>
      <c r="K307" s="146"/>
      <c r="L307" s="146"/>
      <c r="M307" s="146"/>
      <c r="N307" s="146">
        <v>1</v>
      </c>
      <c r="O307" s="146"/>
      <c r="P307" s="146">
        <v>1</v>
      </c>
      <c r="Q307" s="146"/>
      <c r="R307" s="146">
        <v>1</v>
      </c>
      <c r="S307" s="146"/>
      <c r="T307" s="146"/>
    </row>
    <row r="308" spans="1:20" x14ac:dyDescent="0.3">
      <c r="A308" s="146" t="s">
        <v>179</v>
      </c>
      <c r="B308" s="146" t="s">
        <v>2232</v>
      </c>
      <c r="C308" s="146" t="s">
        <v>2102</v>
      </c>
      <c r="D308" s="146">
        <v>1</v>
      </c>
      <c r="E308" s="146"/>
      <c r="F308" s="146"/>
      <c r="G308" s="146"/>
      <c r="H308" s="146"/>
      <c r="I308" s="146"/>
      <c r="J308" s="146"/>
      <c r="K308" s="146"/>
      <c r="L308" s="146"/>
      <c r="M308" s="146"/>
      <c r="N308" s="146">
        <v>1</v>
      </c>
      <c r="O308" s="146"/>
      <c r="P308" s="146">
        <v>1</v>
      </c>
      <c r="Q308" s="146"/>
      <c r="R308" s="146"/>
      <c r="S308" s="146"/>
      <c r="T308" s="146"/>
    </row>
    <row r="309" spans="1:20" x14ac:dyDescent="0.3">
      <c r="A309" s="146" t="s">
        <v>173</v>
      </c>
      <c r="B309" s="146" t="s">
        <v>2233</v>
      </c>
      <c r="C309" s="146" t="s">
        <v>2099</v>
      </c>
      <c r="D309" s="146">
        <v>1</v>
      </c>
      <c r="E309" s="146">
        <v>1</v>
      </c>
      <c r="F309" s="146"/>
      <c r="G309" s="146">
        <v>1</v>
      </c>
      <c r="H309" s="146">
        <v>1</v>
      </c>
      <c r="I309" s="146">
        <v>1</v>
      </c>
      <c r="J309" s="146">
        <v>1</v>
      </c>
      <c r="K309" s="146"/>
      <c r="L309" s="146"/>
      <c r="M309" s="146"/>
      <c r="N309" s="146">
        <v>1</v>
      </c>
      <c r="O309" s="146"/>
      <c r="P309" s="146">
        <v>1</v>
      </c>
      <c r="Q309" s="146"/>
      <c r="R309" s="146"/>
      <c r="S309" s="146"/>
      <c r="T309" s="146"/>
    </row>
    <row r="310" spans="1:20" x14ac:dyDescent="0.3">
      <c r="A310" s="146" t="s">
        <v>188</v>
      </c>
      <c r="B310" s="146" t="s">
        <v>1704</v>
      </c>
      <c r="C310" s="146" t="s">
        <v>2099</v>
      </c>
      <c r="D310" s="146">
        <v>1</v>
      </c>
      <c r="E310" s="146">
        <v>1</v>
      </c>
      <c r="F310" s="146"/>
      <c r="G310" s="146">
        <v>1</v>
      </c>
      <c r="H310" s="146">
        <v>1</v>
      </c>
      <c r="I310" s="146">
        <v>1</v>
      </c>
      <c r="J310" s="146">
        <v>1</v>
      </c>
      <c r="K310" s="146"/>
      <c r="L310" s="146"/>
      <c r="M310" s="146"/>
      <c r="N310" s="146">
        <v>1</v>
      </c>
      <c r="O310" s="146">
        <v>1</v>
      </c>
      <c r="P310" s="146">
        <v>1</v>
      </c>
      <c r="Q310" s="146"/>
      <c r="R310" s="146"/>
      <c r="S310" s="146"/>
      <c r="T310" s="146"/>
    </row>
    <row r="311" spans="1:20" x14ac:dyDescent="0.3">
      <c r="A311" s="146" t="s">
        <v>166</v>
      </c>
      <c r="B311" s="146" t="s">
        <v>2234</v>
      </c>
      <c r="C311" s="146" t="s">
        <v>149</v>
      </c>
      <c r="D311" s="146">
        <v>1</v>
      </c>
      <c r="E311" s="146">
        <v>1</v>
      </c>
      <c r="F311" s="146">
        <v>1</v>
      </c>
      <c r="G311" s="146">
        <v>1</v>
      </c>
      <c r="H311" s="146">
        <v>1</v>
      </c>
      <c r="I311" s="146">
        <v>1</v>
      </c>
      <c r="J311" s="146">
        <v>1</v>
      </c>
      <c r="K311" s="146"/>
      <c r="L311" s="146"/>
      <c r="M311" s="146">
        <v>1</v>
      </c>
      <c r="N311" s="146">
        <v>1</v>
      </c>
      <c r="O311" s="146">
        <v>1</v>
      </c>
      <c r="P311" s="146">
        <v>1</v>
      </c>
      <c r="Q311" s="146"/>
      <c r="R311" s="146"/>
      <c r="S311" s="146"/>
      <c r="T311" s="146"/>
    </row>
    <row r="312" spans="1:20" x14ac:dyDescent="0.3">
      <c r="A312" s="146" t="s">
        <v>169</v>
      </c>
      <c r="B312" s="146" t="s">
        <v>904</v>
      </c>
      <c r="C312" s="146" t="s">
        <v>2099</v>
      </c>
      <c r="D312" s="146">
        <v>1</v>
      </c>
      <c r="E312" s="146">
        <v>1</v>
      </c>
      <c r="F312" s="146">
        <v>1</v>
      </c>
      <c r="G312" s="146">
        <v>1</v>
      </c>
      <c r="H312" s="146">
        <v>1</v>
      </c>
      <c r="I312" s="146">
        <v>1</v>
      </c>
      <c r="J312" s="146">
        <v>1</v>
      </c>
      <c r="K312" s="146">
        <v>1</v>
      </c>
      <c r="L312" s="146"/>
      <c r="M312" s="146"/>
      <c r="N312" s="146">
        <v>1</v>
      </c>
      <c r="O312" s="146"/>
      <c r="P312" s="146">
        <v>1</v>
      </c>
      <c r="Q312" s="146"/>
      <c r="R312" s="146"/>
      <c r="S312" s="146"/>
      <c r="T312" s="146"/>
    </row>
    <row r="313" spans="1:20" x14ac:dyDescent="0.3">
      <c r="A313" s="146" t="s">
        <v>177</v>
      </c>
      <c r="B313" s="146" t="s">
        <v>1232</v>
      </c>
      <c r="C313" s="146" t="s">
        <v>2099</v>
      </c>
      <c r="D313" s="146">
        <v>1</v>
      </c>
      <c r="E313" s="146"/>
      <c r="F313" s="146"/>
      <c r="G313" s="146">
        <v>1</v>
      </c>
      <c r="H313" s="146"/>
      <c r="I313" s="146"/>
      <c r="J313" s="146"/>
      <c r="K313" s="146"/>
      <c r="L313" s="146"/>
      <c r="M313" s="146"/>
      <c r="N313" s="146">
        <v>1</v>
      </c>
      <c r="O313" s="146"/>
      <c r="P313" s="146">
        <v>1</v>
      </c>
      <c r="Q313" s="146"/>
      <c r="R313" s="146"/>
      <c r="S313" s="146"/>
      <c r="T313" s="146"/>
    </row>
    <row r="314" spans="1:20" x14ac:dyDescent="0.3">
      <c r="A314" s="146" t="s">
        <v>182</v>
      </c>
      <c r="B314" s="146" t="s">
        <v>2235</v>
      </c>
      <c r="C314" s="146" t="s">
        <v>2099</v>
      </c>
      <c r="D314" s="146">
        <v>1</v>
      </c>
      <c r="E314" s="146"/>
      <c r="F314" s="146"/>
      <c r="G314" s="146">
        <v>1</v>
      </c>
      <c r="H314" s="146">
        <v>1</v>
      </c>
      <c r="I314" s="146">
        <v>1</v>
      </c>
      <c r="J314" s="146">
        <v>1</v>
      </c>
      <c r="K314" s="146"/>
      <c r="L314" s="146"/>
      <c r="M314" s="146"/>
      <c r="N314" s="146">
        <v>1</v>
      </c>
      <c r="O314" s="146"/>
      <c r="P314" s="146">
        <v>1</v>
      </c>
      <c r="Q314" s="146"/>
      <c r="R314" s="146"/>
      <c r="S314" s="146"/>
      <c r="T314" s="146"/>
    </row>
    <row r="315" spans="1:20" x14ac:dyDescent="0.3">
      <c r="A315" s="146" t="s">
        <v>155</v>
      </c>
      <c r="B315" s="146" t="s">
        <v>367</v>
      </c>
      <c r="C315" s="146" t="s">
        <v>2099</v>
      </c>
      <c r="D315" s="146">
        <v>1</v>
      </c>
      <c r="E315" s="146">
        <v>1</v>
      </c>
      <c r="F315" s="146"/>
      <c r="G315" s="146">
        <v>1</v>
      </c>
      <c r="H315" s="146">
        <v>1</v>
      </c>
      <c r="I315" s="146">
        <v>1</v>
      </c>
      <c r="J315" s="146">
        <v>1</v>
      </c>
      <c r="K315" s="146"/>
      <c r="L315" s="146"/>
      <c r="M315" s="146"/>
      <c r="N315" s="146">
        <v>1</v>
      </c>
      <c r="O315" s="146"/>
      <c r="P315" s="146">
        <v>1</v>
      </c>
      <c r="Q315" s="146"/>
      <c r="R315" s="146"/>
      <c r="S315" s="146"/>
      <c r="T315" s="146"/>
    </row>
    <row r="316" spans="1:20" x14ac:dyDescent="0.3">
      <c r="A316" s="146" t="s">
        <v>180</v>
      </c>
      <c r="B316" s="146" t="s">
        <v>1434</v>
      </c>
      <c r="C316" s="146" t="s">
        <v>2099</v>
      </c>
      <c r="D316" s="146">
        <v>1</v>
      </c>
      <c r="E316" s="146">
        <v>1</v>
      </c>
      <c r="F316" s="146">
        <v>1</v>
      </c>
      <c r="G316" s="146">
        <v>1</v>
      </c>
      <c r="H316" s="146">
        <v>1</v>
      </c>
      <c r="I316" s="146">
        <v>1</v>
      </c>
      <c r="J316" s="146">
        <v>1</v>
      </c>
      <c r="K316" s="146">
        <v>1</v>
      </c>
      <c r="L316" s="146">
        <v>1</v>
      </c>
      <c r="M316" s="146">
        <v>1</v>
      </c>
      <c r="N316" s="146">
        <v>1</v>
      </c>
      <c r="O316" s="146">
        <v>1</v>
      </c>
      <c r="P316" s="146">
        <v>1</v>
      </c>
      <c r="Q316" s="146"/>
      <c r="R316" s="146"/>
      <c r="S316" s="146"/>
      <c r="T316" s="146"/>
    </row>
    <row r="317" spans="1:20" x14ac:dyDescent="0.3">
      <c r="A317" s="146" t="s">
        <v>180</v>
      </c>
      <c r="B317" s="146" t="s">
        <v>1435</v>
      </c>
      <c r="C317" s="146" t="s">
        <v>2106</v>
      </c>
      <c r="D317" s="146">
        <v>1</v>
      </c>
      <c r="E317" s="146">
        <v>1</v>
      </c>
      <c r="F317" s="146">
        <v>1</v>
      </c>
      <c r="G317" s="146">
        <v>1</v>
      </c>
      <c r="H317" s="146">
        <v>1</v>
      </c>
      <c r="I317" s="146">
        <v>1</v>
      </c>
      <c r="J317" s="146">
        <v>1</v>
      </c>
      <c r="K317" s="146">
        <v>1</v>
      </c>
      <c r="L317" s="146"/>
      <c r="M317" s="146">
        <v>1</v>
      </c>
      <c r="N317" s="146">
        <v>1</v>
      </c>
      <c r="O317" s="146">
        <v>1</v>
      </c>
      <c r="P317" s="146">
        <v>1</v>
      </c>
      <c r="Q317" s="146">
        <v>1</v>
      </c>
      <c r="R317" s="146"/>
      <c r="S317" s="146"/>
      <c r="T317" s="146"/>
    </row>
    <row r="318" spans="1:20" x14ac:dyDescent="0.3">
      <c r="A318" s="146" t="s">
        <v>156</v>
      </c>
      <c r="B318" s="146" t="s">
        <v>2236</v>
      </c>
      <c r="C318" s="146" t="s">
        <v>2102</v>
      </c>
      <c r="D318" s="146">
        <v>1</v>
      </c>
      <c r="E318" s="146">
        <v>1</v>
      </c>
      <c r="F318" s="146"/>
      <c r="G318" s="146">
        <v>1</v>
      </c>
      <c r="H318" s="146">
        <v>1</v>
      </c>
      <c r="I318" s="146">
        <v>1</v>
      </c>
      <c r="J318" s="146"/>
      <c r="K318" s="146"/>
      <c r="L318" s="146"/>
      <c r="M318" s="146"/>
      <c r="N318" s="146">
        <v>1</v>
      </c>
      <c r="O318" s="146"/>
      <c r="P318" s="146">
        <v>1</v>
      </c>
      <c r="Q318" s="146"/>
      <c r="R318" s="146"/>
      <c r="S318" s="146"/>
      <c r="T318" s="146"/>
    </row>
    <row r="319" spans="1:20" x14ac:dyDescent="0.3">
      <c r="A319" s="146" t="s">
        <v>181</v>
      </c>
      <c r="B319" s="146" t="s">
        <v>1532</v>
      </c>
      <c r="C319" s="146" t="s">
        <v>2099</v>
      </c>
      <c r="D319" s="146">
        <v>1</v>
      </c>
      <c r="E319" s="146">
        <v>1</v>
      </c>
      <c r="F319" s="146">
        <v>1</v>
      </c>
      <c r="G319" s="146">
        <v>1</v>
      </c>
      <c r="H319" s="146">
        <v>1</v>
      </c>
      <c r="I319" s="146">
        <v>1</v>
      </c>
      <c r="J319" s="146">
        <v>1</v>
      </c>
      <c r="K319" s="146"/>
      <c r="L319" s="146"/>
      <c r="M319" s="146"/>
      <c r="N319" s="146">
        <v>1</v>
      </c>
      <c r="O319" s="146"/>
      <c r="P319" s="146">
        <v>1</v>
      </c>
      <c r="Q319" s="146"/>
      <c r="R319" s="146"/>
      <c r="S319" s="146"/>
      <c r="T319" s="146"/>
    </row>
    <row r="320" spans="1:20" x14ac:dyDescent="0.3">
      <c r="A320" s="146" t="s">
        <v>182</v>
      </c>
      <c r="B320" s="146" t="s">
        <v>212</v>
      </c>
      <c r="C320" s="146" t="s">
        <v>2106</v>
      </c>
      <c r="D320" s="146">
        <v>1</v>
      </c>
      <c r="E320" s="146">
        <v>1</v>
      </c>
      <c r="F320" s="146">
        <v>1</v>
      </c>
      <c r="G320" s="146">
        <v>1</v>
      </c>
      <c r="H320" s="146">
        <v>1</v>
      </c>
      <c r="I320" s="146">
        <v>1</v>
      </c>
      <c r="J320" s="146">
        <v>1</v>
      </c>
      <c r="K320" s="146">
        <v>1</v>
      </c>
      <c r="L320" s="146">
        <v>1</v>
      </c>
      <c r="M320" s="146">
        <v>1</v>
      </c>
      <c r="N320" s="146">
        <v>1</v>
      </c>
      <c r="O320" s="146">
        <v>1</v>
      </c>
      <c r="P320" s="146">
        <v>1</v>
      </c>
      <c r="Q320" s="146">
        <v>1</v>
      </c>
      <c r="R320" s="146"/>
      <c r="S320" s="146"/>
      <c r="T320" s="146"/>
    </row>
    <row r="321" spans="1:20" x14ac:dyDescent="0.3">
      <c r="A321" s="146" t="s">
        <v>185</v>
      </c>
      <c r="B321" s="146" t="s">
        <v>2237</v>
      </c>
      <c r="C321" s="146" t="s">
        <v>2099</v>
      </c>
      <c r="D321" s="146">
        <v>1</v>
      </c>
      <c r="E321" s="146">
        <v>1</v>
      </c>
      <c r="F321" s="146"/>
      <c r="G321" s="146">
        <v>1</v>
      </c>
      <c r="H321" s="146">
        <v>1</v>
      </c>
      <c r="I321" s="146">
        <v>1</v>
      </c>
      <c r="J321" s="146"/>
      <c r="K321" s="146"/>
      <c r="L321" s="146"/>
      <c r="M321" s="146"/>
      <c r="N321" s="146">
        <v>1</v>
      </c>
      <c r="O321" s="146"/>
      <c r="P321" s="146">
        <v>1</v>
      </c>
      <c r="Q321" s="146"/>
      <c r="R321" s="146"/>
      <c r="S321" s="146"/>
      <c r="T321" s="146"/>
    </row>
    <row r="322" spans="1:20" x14ac:dyDescent="0.3">
      <c r="A322" s="146" t="s">
        <v>198</v>
      </c>
      <c r="B322" s="146" t="s">
        <v>635</v>
      </c>
      <c r="C322" s="146" t="s">
        <v>2099</v>
      </c>
      <c r="D322" s="146">
        <v>1</v>
      </c>
      <c r="E322" s="146">
        <v>1</v>
      </c>
      <c r="F322" s="146"/>
      <c r="G322" s="146">
        <v>1</v>
      </c>
      <c r="H322" s="146">
        <v>1</v>
      </c>
      <c r="I322" s="146">
        <v>1</v>
      </c>
      <c r="J322" s="146">
        <v>1</v>
      </c>
      <c r="K322" s="146"/>
      <c r="L322" s="146"/>
      <c r="M322" s="146"/>
      <c r="N322" s="146">
        <v>1</v>
      </c>
      <c r="O322" s="146"/>
      <c r="P322" s="146">
        <v>1</v>
      </c>
      <c r="Q322" s="146"/>
      <c r="R322" s="146"/>
      <c r="S322" s="146"/>
      <c r="T322" s="146"/>
    </row>
    <row r="323" spans="1:20" x14ac:dyDescent="0.3">
      <c r="A323" s="146" t="s">
        <v>154</v>
      </c>
      <c r="B323" s="146" t="s">
        <v>328</v>
      </c>
      <c r="C323" s="146" t="s">
        <v>2099</v>
      </c>
      <c r="D323" s="146">
        <v>1</v>
      </c>
      <c r="E323" s="146"/>
      <c r="F323" s="146">
        <v>1</v>
      </c>
      <c r="G323" s="146">
        <v>1</v>
      </c>
      <c r="H323" s="146"/>
      <c r="I323" s="146"/>
      <c r="J323" s="146">
        <v>1</v>
      </c>
      <c r="K323" s="146"/>
      <c r="L323" s="146"/>
      <c r="M323" s="146"/>
      <c r="N323" s="146">
        <v>1</v>
      </c>
      <c r="O323" s="146"/>
      <c r="P323" s="146">
        <v>1</v>
      </c>
      <c r="Q323" s="146"/>
      <c r="R323" s="146">
        <v>1</v>
      </c>
      <c r="S323" s="146"/>
      <c r="T323" s="146"/>
    </row>
    <row r="324" spans="1:20" x14ac:dyDescent="0.3">
      <c r="A324" s="146" t="s">
        <v>184</v>
      </c>
      <c r="B324" s="146" t="s">
        <v>2238</v>
      </c>
      <c r="C324" s="146" t="s">
        <v>2102</v>
      </c>
      <c r="D324" s="146">
        <v>1</v>
      </c>
      <c r="E324" s="146"/>
      <c r="F324" s="146"/>
      <c r="G324" s="146">
        <v>1</v>
      </c>
      <c r="H324" s="146"/>
      <c r="I324" s="146"/>
      <c r="J324" s="146"/>
      <c r="K324" s="146"/>
      <c r="L324" s="146"/>
      <c r="M324" s="146"/>
      <c r="N324" s="146">
        <v>1</v>
      </c>
      <c r="O324" s="146"/>
      <c r="P324" s="146">
        <v>1</v>
      </c>
      <c r="Q324" s="146"/>
      <c r="R324" s="146"/>
      <c r="S324" s="146"/>
      <c r="T324" s="146"/>
    </row>
    <row r="325" spans="1:20" x14ac:dyDescent="0.3">
      <c r="A325" s="146" t="s">
        <v>285</v>
      </c>
      <c r="B325" s="146" t="s">
        <v>1982</v>
      </c>
      <c r="C325" s="146" t="s">
        <v>2099</v>
      </c>
      <c r="D325" s="146">
        <v>1</v>
      </c>
      <c r="E325" s="146">
        <v>1</v>
      </c>
      <c r="F325" s="146">
        <v>1</v>
      </c>
      <c r="G325" s="146">
        <v>1</v>
      </c>
      <c r="H325" s="146">
        <v>1</v>
      </c>
      <c r="I325" s="146">
        <v>1</v>
      </c>
      <c r="J325" s="146">
        <v>1</v>
      </c>
      <c r="K325" s="146"/>
      <c r="L325" s="146"/>
      <c r="M325" s="146"/>
      <c r="N325" s="146">
        <v>1</v>
      </c>
      <c r="O325" s="146"/>
      <c r="P325" s="146">
        <v>1</v>
      </c>
      <c r="Q325" s="146"/>
      <c r="R325" s="146"/>
      <c r="S325" s="146"/>
      <c r="T325" s="146"/>
    </row>
    <row r="326" spans="1:20" x14ac:dyDescent="0.3">
      <c r="A326" s="146" t="s">
        <v>173</v>
      </c>
      <c r="B326" s="146" t="s">
        <v>1052</v>
      </c>
      <c r="C326" s="146" t="s">
        <v>2099</v>
      </c>
      <c r="D326" s="146">
        <v>1</v>
      </c>
      <c r="E326" s="146"/>
      <c r="F326" s="146"/>
      <c r="G326" s="146">
        <v>1</v>
      </c>
      <c r="H326" s="146"/>
      <c r="I326" s="146"/>
      <c r="J326" s="146"/>
      <c r="K326" s="146"/>
      <c r="L326" s="146"/>
      <c r="M326" s="146"/>
      <c r="N326" s="146">
        <v>1</v>
      </c>
      <c r="O326" s="146"/>
      <c r="P326" s="146">
        <v>1</v>
      </c>
      <c r="Q326" s="146"/>
      <c r="R326" s="146"/>
      <c r="S326" s="146"/>
      <c r="T326" s="146"/>
    </row>
    <row r="327" spans="1:20" x14ac:dyDescent="0.3">
      <c r="A327" s="146" t="s">
        <v>188</v>
      </c>
      <c r="B327" s="146" t="s">
        <v>2239</v>
      </c>
      <c r="C327" s="146" t="s">
        <v>2102</v>
      </c>
      <c r="D327" s="146">
        <v>1</v>
      </c>
      <c r="E327" s="146"/>
      <c r="F327" s="146"/>
      <c r="G327" s="146">
        <v>1</v>
      </c>
      <c r="H327" s="146"/>
      <c r="I327" s="146"/>
      <c r="J327" s="146"/>
      <c r="K327" s="146"/>
      <c r="L327" s="146"/>
      <c r="M327" s="146"/>
      <c r="N327" s="146">
        <v>1</v>
      </c>
      <c r="O327" s="146"/>
      <c r="P327" s="146">
        <v>1</v>
      </c>
      <c r="Q327" s="146"/>
      <c r="R327" s="146"/>
      <c r="S327" s="146"/>
      <c r="T327" s="146"/>
    </row>
    <row r="328" spans="1:20" x14ac:dyDescent="0.3">
      <c r="A328" s="146" t="s">
        <v>167</v>
      </c>
      <c r="B328" s="146" t="s">
        <v>2240</v>
      </c>
      <c r="C328" s="146" t="s">
        <v>2099</v>
      </c>
      <c r="D328" s="146">
        <v>1</v>
      </c>
      <c r="E328" s="146">
        <v>1</v>
      </c>
      <c r="F328" s="146"/>
      <c r="G328" s="146">
        <v>1</v>
      </c>
      <c r="H328" s="146">
        <v>1</v>
      </c>
      <c r="I328" s="146">
        <v>1</v>
      </c>
      <c r="J328" s="146">
        <v>1</v>
      </c>
      <c r="K328" s="146"/>
      <c r="L328" s="146"/>
      <c r="M328" s="146"/>
      <c r="N328" s="146">
        <v>1</v>
      </c>
      <c r="O328" s="146"/>
      <c r="P328" s="146">
        <v>1</v>
      </c>
      <c r="Q328" s="146"/>
      <c r="R328" s="146"/>
      <c r="S328" s="146"/>
      <c r="T328" s="146"/>
    </row>
    <row r="329" spans="1:20" x14ac:dyDescent="0.3">
      <c r="A329" s="146" t="s">
        <v>158</v>
      </c>
      <c r="B329" s="146" t="s">
        <v>2241</v>
      </c>
      <c r="C329" s="146" t="s">
        <v>2102</v>
      </c>
      <c r="D329" s="146">
        <v>1</v>
      </c>
      <c r="E329" s="146"/>
      <c r="F329" s="146"/>
      <c r="G329" s="146">
        <v>1</v>
      </c>
      <c r="H329" s="146"/>
      <c r="I329" s="146"/>
      <c r="J329" s="146"/>
      <c r="K329" s="146"/>
      <c r="L329" s="146"/>
      <c r="M329" s="146"/>
      <c r="N329" s="146">
        <v>1</v>
      </c>
      <c r="O329" s="146"/>
      <c r="P329" s="146">
        <v>1</v>
      </c>
      <c r="Q329" s="146"/>
      <c r="R329" s="146"/>
      <c r="S329" s="146"/>
      <c r="T329" s="146"/>
    </row>
    <row r="330" spans="1:20" x14ac:dyDescent="0.3">
      <c r="A330" s="146" t="s">
        <v>199</v>
      </c>
      <c r="B330" s="146" t="s">
        <v>2242</v>
      </c>
      <c r="C330" s="146" t="s">
        <v>2102</v>
      </c>
      <c r="D330" s="146">
        <v>1</v>
      </c>
      <c r="E330" s="146"/>
      <c r="F330" s="146"/>
      <c r="G330" s="146">
        <v>1</v>
      </c>
      <c r="H330" s="146"/>
      <c r="I330" s="146"/>
      <c r="J330" s="146"/>
      <c r="K330" s="146"/>
      <c r="L330" s="146"/>
      <c r="M330" s="146"/>
      <c r="N330" s="146">
        <v>1</v>
      </c>
      <c r="O330" s="146"/>
      <c r="P330" s="146">
        <v>1</v>
      </c>
      <c r="Q330" s="146"/>
      <c r="R330" s="146"/>
      <c r="S330" s="146"/>
      <c r="T330" s="146"/>
    </row>
    <row r="331" spans="1:20" x14ac:dyDescent="0.3">
      <c r="A331" s="146" t="s">
        <v>285</v>
      </c>
      <c r="B331" s="146" t="s">
        <v>2243</v>
      </c>
      <c r="C331" s="146" t="s">
        <v>2102</v>
      </c>
      <c r="D331" s="146">
        <v>1</v>
      </c>
      <c r="E331" s="146"/>
      <c r="F331" s="146"/>
      <c r="G331" s="146">
        <v>1</v>
      </c>
      <c r="H331" s="146"/>
      <c r="I331" s="146"/>
      <c r="J331" s="146"/>
      <c r="K331" s="146"/>
      <c r="L331" s="146"/>
      <c r="M331" s="146"/>
      <c r="N331" s="146">
        <v>1</v>
      </c>
      <c r="O331" s="146"/>
      <c r="P331" s="146">
        <v>1</v>
      </c>
      <c r="Q331" s="146"/>
      <c r="R331" s="146"/>
      <c r="S331" s="146"/>
      <c r="T331" s="146"/>
    </row>
    <row r="332" spans="1:20" x14ac:dyDescent="0.3">
      <c r="A332" s="146" t="s">
        <v>162</v>
      </c>
      <c r="B332" s="146" t="s">
        <v>587</v>
      </c>
      <c r="C332" s="146" t="s">
        <v>2099</v>
      </c>
      <c r="D332" s="146">
        <v>1</v>
      </c>
      <c r="E332" s="146"/>
      <c r="F332" s="146"/>
      <c r="G332" s="146">
        <v>1</v>
      </c>
      <c r="H332" s="146">
        <v>1</v>
      </c>
      <c r="I332" s="146"/>
      <c r="J332" s="146">
        <v>1</v>
      </c>
      <c r="K332" s="146"/>
      <c r="L332" s="146"/>
      <c r="M332" s="146"/>
      <c r="N332" s="146">
        <v>1</v>
      </c>
      <c r="O332" s="146"/>
      <c r="P332" s="146">
        <v>1</v>
      </c>
      <c r="Q332" s="146"/>
      <c r="R332" s="146"/>
      <c r="S332" s="146"/>
      <c r="T332" s="146"/>
    </row>
    <row r="333" spans="1:20" x14ac:dyDescent="0.3">
      <c r="A333" s="146" t="s">
        <v>199</v>
      </c>
      <c r="B333" s="146" t="s">
        <v>2244</v>
      </c>
      <c r="C333" s="146" t="s">
        <v>2102</v>
      </c>
      <c r="D333" s="146">
        <v>1</v>
      </c>
      <c r="E333" s="146"/>
      <c r="F333" s="146"/>
      <c r="G333" s="146">
        <v>1</v>
      </c>
      <c r="H333" s="146"/>
      <c r="I333" s="146"/>
      <c r="J333" s="146"/>
      <c r="K333" s="146"/>
      <c r="L333" s="146"/>
      <c r="M333" s="146"/>
      <c r="N333" s="146">
        <v>1</v>
      </c>
      <c r="O333" s="146"/>
      <c r="P333" s="146">
        <v>1</v>
      </c>
      <c r="Q333" s="146"/>
      <c r="R333" s="146"/>
      <c r="S333" s="146"/>
      <c r="T333" s="146"/>
    </row>
    <row r="334" spans="1:20" x14ac:dyDescent="0.3">
      <c r="A334" s="146" t="s">
        <v>199</v>
      </c>
      <c r="B334" s="146" t="s">
        <v>2245</v>
      </c>
      <c r="C334" s="146" t="s">
        <v>2099</v>
      </c>
      <c r="D334" s="146">
        <v>1</v>
      </c>
      <c r="E334" s="146"/>
      <c r="F334" s="146"/>
      <c r="G334" s="146">
        <v>1</v>
      </c>
      <c r="H334" s="146"/>
      <c r="I334" s="146"/>
      <c r="J334" s="146"/>
      <c r="K334" s="146"/>
      <c r="L334" s="146"/>
      <c r="M334" s="146"/>
      <c r="N334" s="146">
        <v>1</v>
      </c>
      <c r="O334" s="146"/>
      <c r="P334" s="146">
        <v>1</v>
      </c>
      <c r="Q334" s="146"/>
      <c r="R334" s="146"/>
      <c r="S334" s="146"/>
      <c r="T334" s="146"/>
    </row>
    <row r="335" spans="1:20" x14ac:dyDescent="0.3">
      <c r="A335" s="146" t="s">
        <v>180</v>
      </c>
      <c r="B335" s="146" t="s">
        <v>1436</v>
      </c>
      <c r="C335" s="146" t="s">
        <v>2099</v>
      </c>
      <c r="D335" s="146">
        <v>1</v>
      </c>
      <c r="E335" s="146"/>
      <c r="F335" s="146"/>
      <c r="G335" s="146">
        <v>1</v>
      </c>
      <c r="H335" s="146">
        <v>1</v>
      </c>
      <c r="I335" s="146">
        <v>1</v>
      </c>
      <c r="J335" s="146"/>
      <c r="K335" s="146"/>
      <c r="L335" s="146"/>
      <c r="M335" s="146"/>
      <c r="N335" s="146">
        <v>1</v>
      </c>
      <c r="O335" s="146"/>
      <c r="P335" s="146">
        <v>1</v>
      </c>
      <c r="Q335" s="146"/>
      <c r="R335" s="146"/>
      <c r="S335" s="146"/>
      <c r="T335" s="146"/>
    </row>
    <row r="336" spans="1:20" x14ac:dyDescent="0.3">
      <c r="A336" s="146" t="s">
        <v>188</v>
      </c>
      <c r="B336" s="146" t="s">
        <v>2246</v>
      </c>
      <c r="C336" s="146" t="s">
        <v>2102</v>
      </c>
      <c r="D336" s="146">
        <v>1</v>
      </c>
      <c r="E336" s="146"/>
      <c r="F336" s="146"/>
      <c r="G336" s="146">
        <v>1</v>
      </c>
      <c r="H336" s="146"/>
      <c r="I336" s="146"/>
      <c r="J336" s="146"/>
      <c r="K336" s="146"/>
      <c r="L336" s="146"/>
      <c r="M336" s="146"/>
      <c r="N336" s="146">
        <v>1</v>
      </c>
      <c r="O336" s="146"/>
      <c r="P336" s="146">
        <v>1</v>
      </c>
      <c r="Q336" s="146"/>
      <c r="R336" s="146"/>
      <c r="S336" s="146"/>
      <c r="T336" s="146"/>
    </row>
    <row r="337" spans="1:20" x14ac:dyDescent="0.3">
      <c r="A337" s="146" t="s">
        <v>174</v>
      </c>
      <c r="B337" s="146" t="s">
        <v>1114</v>
      </c>
      <c r="C337" s="146" t="s">
        <v>2099</v>
      </c>
      <c r="D337" s="146">
        <v>1</v>
      </c>
      <c r="E337" s="146"/>
      <c r="F337" s="146"/>
      <c r="G337" s="146">
        <v>1</v>
      </c>
      <c r="H337" s="146"/>
      <c r="I337" s="146"/>
      <c r="J337" s="146"/>
      <c r="K337" s="146"/>
      <c r="L337" s="146"/>
      <c r="M337" s="146"/>
      <c r="N337" s="146">
        <v>1</v>
      </c>
      <c r="O337" s="146"/>
      <c r="P337" s="146">
        <v>1</v>
      </c>
      <c r="Q337" s="146"/>
      <c r="R337" s="146"/>
      <c r="S337" s="146"/>
      <c r="T337" s="146"/>
    </row>
    <row r="338" spans="1:20" x14ac:dyDescent="0.3">
      <c r="A338" s="146" t="s">
        <v>178</v>
      </c>
      <c r="B338" s="146" t="s">
        <v>1288</v>
      </c>
      <c r="C338" s="146" t="s">
        <v>2099</v>
      </c>
      <c r="D338" s="146">
        <v>1</v>
      </c>
      <c r="E338" s="146">
        <v>1</v>
      </c>
      <c r="F338" s="146"/>
      <c r="G338" s="146">
        <v>1</v>
      </c>
      <c r="H338" s="146">
        <v>1</v>
      </c>
      <c r="I338" s="146">
        <v>1</v>
      </c>
      <c r="J338" s="146"/>
      <c r="K338" s="146"/>
      <c r="L338" s="146"/>
      <c r="M338" s="146"/>
      <c r="N338" s="146">
        <v>1</v>
      </c>
      <c r="O338" s="146"/>
      <c r="P338" s="146">
        <v>1</v>
      </c>
      <c r="Q338" s="146"/>
      <c r="R338" s="146"/>
      <c r="S338" s="146"/>
      <c r="T338" s="146"/>
    </row>
    <row r="339" spans="1:20" x14ac:dyDescent="0.3">
      <c r="A339" s="146" t="s">
        <v>169</v>
      </c>
      <c r="B339" s="146" t="s">
        <v>905</v>
      </c>
      <c r="C339" s="146" t="s">
        <v>2099</v>
      </c>
      <c r="D339" s="146">
        <v>1</v>
      </c>
      <c r="E339" s="146"/>
      <c r="F339" s="146"/>
      <c r="G339" s="146">
        <v>1</v>
      </c>
      <c r="H339" s="146"/>
      <c r="I339" s="146"/>
      <c r="J339" s="146"/>
      <c r="K339" s="146"/>
      <c r="L339" s="146"/>
      <c r="M339" s="146"/>
      <c r="N339" s="146">
        <v>1</v>
      </c>
      <c r="O339" s="146"/>
      <c r="P339" s="146">
        <v>1</v>
      </c>
      <c r="Q339" s="146"/>
      <c r="R339" s="146">
        <v>1</v>
      </c>
      <c r="S339" s="146"/>
      <c r="T339" s="146"/>
    </row>
    <row r="340" spans="1:20" x14ac:dyDescent="0.3">
      <c r="A340" s="146" t="s">
        <v>168</v>
      </c>
      <c r="B340" s="146" t="s">
        <v>2247</v>
      </c>
      <c r="C340" s="146" t="s">
        <v>149</v>
      </c>
      <c r="D340" s="146">
        <v>1</v>
      </c>
      <c r="E340" s="146">
        <v>1</v>
      </c>
      <c r="F340" s="146"/>
      <c r="G340" s="146">
        <v>1</v>
      </c>
      <c r="H340" s="146">
        <v>1</v>
      </c>
      <c r="I340" s="146">
        <v>1</v>
      </c>
      <c r="J340" s="146">
        <v>1</v>
      </c>
      <c r="K340" s="146"/>
      <c r="L340" s="146">
        <v>1</v>
      </c>
      <c r="M340" s="146">
        <v>1</v>
      </c>
      <c r="N340" s="146">
        <v>1</v>
      </c>
      <c r="O340" s="146"/>
      <c r="P340" s="146">
        <v>1</v>
      </c>
      <c r="Q340" s="146">
        <v>1</v>
      </c>
      <c r="R340" s="146"/>
      <c r="S340" s="146"/>
      <c r="T340" s="146"/>
    </row>
    <row r="341" spans="1:20" x14ac:dyDescent="0.3">
      <c r="A341" s="146" t="s">
        <v>167</v>
      </c>
      <c r="B341" s="146" t="s">
        <v>2248</v>
      </c>
      <c r="C341" s="146" t="s">
        <v>2099</v>
      </c>
      <c r="D341" s="146">
        <v>1</v>
      </c>
      <c r="E341" s="146">
        <v>1</v>
      </c>
      <c r="F341" s="146"/>
      <c r="G341" s="146">
        <v>1</v>
      </c>
      <c r="H341" s="146">
        <v>1</v>
      </c>
      <c r="I341" s="146">
        <v>1</v>
      </c>
      <c r="J341" s="146"/>
      <c r="K341" s="146"/>
      <c r="L341" s="146"/>
      <c r="M341" s="146"/>
      <c r="N341" s="146">
        <v>1</v>
      </c>
      <c r="O341" s="146"/>
      <c r="P341" s="146">
        <v>1</v>
      </c>
      <c r="Q341" s="146"/>
      <c r="R341" s="146"/>
      <c r="S341" s="146"/>
      <c r="T341" s="146"/>
    </row>
    <row r="342" spans="1:20" x14ac:dyDescent="0.3">
      <c r="A342" s="146" t="s">
        <v>168</v>
      </c>
      <c r="B342" s="146" t="s">
        <v>2249</v>
      </c>
      <c r="C342" s="146" t="s">
        <v>2099</v>
      </c>
      <c r="D342" s="146">
        <v>1</v>
      </c>
      <c r="E342" s="146">
        <v>1</v>
      </c>
      <c r="F342" s="146"/>
      <c r="G342" s="146">
        <v>1</v>
      </c>
      <c r="H342" s="146">
        <v>1</v>
      </c>
      <c r="I342" s="146">
        <v>1</v>
      </c>
      <c r="J342" s="146"/>
      <c r="K342" s="146"/>
      <c r="L342" s="146"/>
      <c r="M342" s="146"/>
      <c r="N342" s="146">
        <v>1</v>
      </c>
      <c r="O342" s="146"/>
      <c r="P342" s="146">
        <v>1</v>
      </c>
      <c r="Q342" s="146"/>
      <c r="R342" s="146"/>
      <c r="S342" s="146"/>
      <c r="T342" s="146"/>
    </row>
    <row r="343" spans="1:20" x14ac:dyDescent="0.3">
      <c r="A343" s="146" t="s">
        <v>168</v>
      </c>
      <c r="B343" s="146" t="s">
        <v>833</v>
      </c>
      <c r="C343" s="146" t="s">
        <v>2099</v>
      </c>
      <c r="D343" s="146">
        <v>1</v>
      </c>
      <c r="E343" s="146">
        <v>1</v>
      </c>
      <c r="F343" s="146"/>
      <c r="G343" s="146">
        <v>1</v>
      </c>
      <c r="H343" s="146">
        <v>1</v>
      </c>
      <c r="I343" s="146">
        <v>1</v>
      </c>
      <c r="J343" s="146">
        <v>1</v>
      </c>
      <c r="K343" s="146"/>
      <c r="L343" s="146"/>
      <c r="M343" s="146"/>
      <c r="N343" s="146">
        <v>1</v>
      </c>
      <c r="O343" s="146"/>
      <c r="P343" s="146">
        <v>1</v>
      </c>
      <c r="Q343" s="146"/>
      <c r="R343" s="146"/>
      <c r="S343" s="146"/>
      <c r="T343" s="146"/>
    </row>
    <row r="344" spans="1:20" x14ac:dyDescent="0.3">
      <c r="A344" s="146" t="s">
        <v>167</v>
      </c>
      <c r="B344" s="146" t="s">
        <v>2250</v>
      </c>
      <c r="C344" s="146" t="s">
        <v>2099</v>
      </c>
      <c r="D344" s="146">
        <v>1</v>
      </c>
      <c r="E344" s="146">
        <v>1</v>
      </c>
      <c r="F344" s="146">
        <v>1</v>
      </c>
      <c r="G344" s="146">
        <v>1</v>
      </c>
      <c r="H344" s="146">
        <v>1</v>
      </c>
      <c r="I344" s="146">
        <v>1</v>
      </c>
      <c r="J344" s="146">
        <v>1</v>
      </c>
      <c r="K344" s="146"/>
      <c r="L344" s="146"/>
      <c r="M344" s="146">
        <v>1</v>
      </c>
      <c r="N344" s="146">
        <v>1</v>
      </c>
      <c r="O344" s="146"/>
      <c r="P344" s="146">
        <v>1</v>
      </c>
      <c r="Q344" s="146"/>
      <c r="R344" s="146"/>
      <c r="S344" s="146"/>
      <c r="T344" s="146"/>
    </row>
    <row r="345" spans="1:20" x14ac:dyDescent="0.3">
      <c r="A345" s="146" t="s">
        <v>167</v>
      </c>
      <c r="B345" s="146" t="s">
        <v>2251</v>
      </c>
      <c r="C345" s="146" t="s">
        <v>2099</v>
      </c>
      <c r="D345" s="146">
        <v>1</v>
      </c>
      <c r="E345" s="146"/>
      <c r="F345" s="146"/>
      <c r="G345" s="146">
        <v>1</v>
      </c>
      <c r="H345" s="146">
        <v>1</v>
      </c>
      <c r="I345" s="146">
        <v>1</v>
      </c>
      <c r="J345" s="146"/>
      <c r="K345" s="146"/>
      <c r="L345" s="146"/>
      <c r="M345" s="146"/>
      <c r="N345" s="146">
        <v>1</v>
      </c>
      <c r="O345" s="146"/>
      <c r="P345" s="146">
        <v>1</v>
      </c>
      <c r="Q345" s="146"/>
      <c r="R345" s="146"/>
      <c r="S345" s="146"/>
      <c r="T345" s="146"/>
    </row>
    <row r="346" spans="1:20" x14ac:dyDescent="0.3">
      <c r="A346" s="146" t="s">
        <v>178</v>
      </c>
      <c r="B346" s="146" t="s">
        <v>1289</v>
      </c>
      <c r="C346" s="146" t="s">
        <v>2099</v>
      </c>
      <c r="D346" s="146">
        <v>1</v>
      </c>
      <c r="E346" s="146">
        <v>1</v>
      </c>
      <c r="F346" s="146"/>
      <c r="G346" s="146">
        <v>1</v>
      </c>
      <c r="H346" s="146">
        <v>1</v>
      </c>
      <c r="I346" s="146">
        <v>1</v>
      </c>
      <c r="J346" s="146"/>
      <c r="K346" s="146"/>
      <c r="L346" s="146"/>
      <c r="M346" s="146"/>
      <c r="N346" s="146">
        <v>1</v>
      </c>
      <c r="O346" s="146"/>
      <c r="P346" s="146">
        <v>1</v>
      </c>
      <c r="Q346" s="146"/>
      <c r="R346" s="146"/>
      <c r="S346" s="146"/>
      <c r="T346" s="146"/>
    </row>
    <row r="347" spans="1:20" x14ac:dyDescent="0.3">
      <c r="A347" s="146" t="s">
        <v>168</v>
      </c>
      <c r="B347" s="146" t="s">
        <v>2252</v>
      </c>
      <c r="C347" s="146" t="s">
        <v>2099</v>
      </c>
      <c r="D347" s="146">
        <v>1</v>
      </c>
      <c r="E347" s="146">
        <v>1</v>
      </c>
      <c r="F347" s="146"/>
      <c r="G347" s="146">
        <v>1</v>
      </c>
      <c r="H347" s="146">
        <v>1</v>
      </c>
      <c r="I347" s="146">
        <v>1</v>
      </c>
      <c r="J347" s="146"/>
      <c r="K347" s="146"/>
      <c r="L347" s="146"/>
      <c r="M347" s="146"/>
      <c r="N347" s="146">
        <v>1</v>
      </c>
      <c r="O347" s="146"/>
      <c r="P347" s="146">
        <v>1</v>
      </c>
      <c r="Q347" s="146"/>
      <c r="R347" s="146"/>
      <c r="S347" s="146"/>
      <c r="T347" s="146"/>
    </row>
    <row r="348" spans="1:20" x14ac:dyDescent="0.3">
      <c r="A348" s="146" t="s">
        <v>167</v>
      </c>
      <c r="B348" s="146" t="s">
        <v>2253</v>
      </c>
      <c r="C348" s="146" t="s">
        <v>2099</v>
      </c>
      <c r="D348" s="146">
        <v>1</v>
      </c>
      <c r="E348" s="146">
        <v>1</v>
      </c>
      <c r="F348" s="146"/>
      <c r="G348" s="146">
        <v>1</v>
      </c>
      <c r="H348" s="146">
        <v>1</v>
      </c>
      <c r="I348" s="146">
        <v>1</v>
      </c>
      <c r="J348" s="146"/>
      <c r="K348" s="146"/>
      <c r="L348" s="146"/>
      <c r="M348" s="146"/>
      <c r="N348" s="146">
        <v>1</v>
      </c>
      <c r="O348" s="146"/>
      <c r="P348" s="146">
        <v>1</v>
      </c>
      <c r="Q348" s="146"/>
      <c r="R348" s="146"/>
      <c r="S348" s="146"/>
      <c r="T348" s="146"/>
    </row>
    <row r="349" spans="1:20" x14ac:dyDescent="0.3">
      <c r="A349" s="146" t="s">
        <v>177</v>
      </c>
      <c r="B349" s="146" t="s">
        <v>1233</v>
      </c>
      <c r="C349" s="146" t="s">
        <v>2099</v>
      </c>
      <c r="D349" s="146">
        <v>1</v>
      </c>
      <c r="E349" s="146">
        <v>1</v>
      </c>
      <c r="F349" s="146">
        <v>1</v>
      </c>
      <c r="G349" s="146">
        <v>1</v>
      </c>
      <c r="H349" s="146">
        <v>1</v>
      </c>
      <c r="I349" s="146"/>
      <c r="J349" s="146">
        <v>1</v>
      </c>
      <c r="K349" s="146"/>
      <c r="L349" s="146"/>
      <c r="M349" s="146">
        <v>1</v>
      </c>
      <c r="N349" s="146">
        <v>1</v>
      </c>
      <c r="O349" s="146"/>
      <c r="P349" s="146">
        <v>1</v>
      </c>
      <c r="Q349" s="146"/>
      <c r="R349" s="146"/>
      <c r="S349" s="146"/>
      <c r="T349" s="146"/>
    </row>
    <row r="350" spans="1:20" x14ac:dyDescent="0.3">
      <c r="A350" s="146" t="s">
        <v>183</v>
      </c>
      <c r="B350" s="146" t="s">
        <v>1565</v>
      </c>
      <c r="C350" s="146" t="s">
        <v>2106</v>
      </c>
      <c r="D350" s="146">
        <v>1</v>
      </c>
      <c r="E350" s="146">
        <v>1</v>
      </c>
      <c r="F350" s="146">
        <v>1</v>
      </c>
      <c r="G350" s="146">
        <v>1</v>
      </c>
      <c r="H350" s="146">
        <v>1</v>
      </c>
      <c r="I350" s="146">
        <v>1</v>
      </c>
      <c r="J350" s="146">
        <v>1</v>
      </c>
      <c r="K350" s="146">
        <v>1</v>
      </c>
      <c r="L350" s="146">
        <v>1</v>
      </c>
      <c r="M350" s="146">
        <v>1</v>
      </c>
      <c r="N350" s="146">
        <v>1</v>
      </c>
      <c r="O350" s="146">
        <v>1</v>
      </c>
      <c r="P350" s="146">
        <v>1</v>
      </c>
      <c r="Q350" s="146"/>
      <c r="R350" s="146">
        <v>1</v>
      </c>
      <c r="S350" s="146">
        <v>1</v>
      </c>
      <c r="T350" s="146"/>
    </row>
    <row r="351" spans="1:20" x14ac:dyDescent="0.3">
      <c r="A351" s="146" t="s">
        <v>183</v>
      </c>
      <c r="B351" s="146" t="s">
        <v>1566</v>
      </c>
      <c r="C351" s="146" t="s">
        <v>2099</v>
      </c>
      <c r="D351" s="146">
        <v>1</v>
      </c>
      <c r="E351" s="146">
        <v>1</v>
      </c>
      <c r="F351" s="146"/>
      <c r="G351" s="146">
        <v>1</v>
      </c>
      <c r="H351" s="146">
        <v>1</v>
      </c>
      <c r="I351" s="146">
        <v>1</v>
      </c>
      <c r="J351" s="146">
        <v>1</v>
      </c>
      <c r="K351" s="146"/>
      <c r="L351" s="146"/>
      <c r="M351" s="146"/>
      <c r="N351" s="146">
        <v>1</v>
      </c>
      <c r="O351" s="146"/>
      <c r="P351" s="146">
        <v>1</v>
      </c>
      <c r="Q351" s="146"/>
      <c r="R351" s="146"/>
      <c r="S351" s="146"/>
      <c r="T351" s="146"/>
    </row>
    <row r="352" spans="1:20" x14ac:dyDescent="0.3">
      <c r="A352" s="146" t="s">
        <v>168</v>
      </c>
      <c r="B352" s="146" t="s">
        <v>2254</v>
      </c>
      <c r="C352" s="146" t="s">
        <v>2099</v>
      </c>
      <c r="D352" s="146">
        <v>1</v>
      </c>
      <c r="E352" s="146">
        <v>1</v>
      </c>
      <c r="F352" s="146"/>
      <c r="G352" s="146">
        <v>1</v>
      </c>
      <c r="H352" s="146"/>
      <c r="I352" s="146">
        <v>1</v>
      </c>
      <c r="J352" s="146"/>
      <c r="K352" s="146"/>
      <c r="L352" s="146"/>
      <c r="M352" s="146"/>
      <c r="N352" s="146">
        <v>1</v>
      </c>
      <c r="O352" s="146"/>
      <c r="P352" s="146">
        <v>1</v>
      </c>
      <c r="Q352" s="146"/>
      <c r="R352" s="146"/>
      <c r="S352" s="146"/>
      <c r="T352" s="146"/>
    </row>
    <row r="353" spans="1:20" x14ac:dyDescent="0.3">
      <c r="A353" s="146" t="s">
        <v>183</v>
      </c>
      <c r="B353" s="146" t="s">
        <v>1567</v>
      </c>
      <c r="C353" s="146" t="s">
        <v>2099</v>
      </c>
      <c r="D353" s="146">
        <v>1</v>
      </c>
      <c r="E353" s="146"/>
      <c r="F353" s="146"/>
      <c r="G353" s="146">
        <v>1</v>
      </c>
      <c r="H353" s="146">
        <v>1</v>
      </c>
      <c r="I353" s="146">
        <v>1</v>
      </c>
      <c r="J353" s="146"/>
      <c r="K353" s="146"/>
      <c r="L353" s="146"/>
      <c r="M353" s="146"/>
      <c r="N353" s="146">
        <v>1</v>
      </c>
      <c r="O353" s="146"/>
      <c r="P353" s="146">
        <v>1</v>
      </c>
      <c r="Q353" s="146"/>
      <c r="R353" s="146"/>
      <c r="S353" s="146"/>
      <c r="T353" s="146"/>
    </row>
    <row r="354" spans="1:20" x14ac:dyDescent="0.3">
      <c r="A354" s="146" t="s">
        <v>168</v>
      </c>
      <c r="B354" s="146" t="s">
        <v>834</v>
      </c>
      <c r="C354" s="146" t="s">
        <v>2099</v>
      </c>
      <c r="D354" s="146">
        <v>1</v>
      </c>
      <c r="E354" s="146"/>
      <c r="F354" s="146"/>
      <c r="G354" s="146">
        <v>1</v>
      </c>
      <c r="H354" s="146"/>
      <c r="I354" s="146"/>
      <c r="J354" s="146"/>
      <c r="K354" s="146"/>
      <c r="L354" s="146"/>
      <c r="M354" s="146"/>
      <c r="N354" s="146">
        <v>1</v>
      </c>
      <c r="O354" s="146"/>
      <c r="P354" s="146">
        <v>1</v>
      </c>
      <c r="Q354" s="146"/>
      <c r="R354" s="146"/>
      <c r="S354" s="146"/>
      <c r="T354" s="146"/>
    </row>
    <row r="355" spans="1:20" x14ac:dyDescent="0.3">
      <c r="A355" s="146" t="s">
        <v>163</v>
      </c>
      <c r="B355" s="146" t="s">
        <v>2255</v>
      </c>
      <c r="C355" s="146" t="s">
        <v>2099</v>
      </c>
      <c r="D355" s="146">
        <v>1</v>
      </c>
      <c r="E355" s="146"/>
      <c r="F355" s="146"/>
      <c r="G355" s="146">
        <v>1</v>
      </c>
      <c r="H355" s="146"/>
      <c r="I355" s="146"/>
      <c r="J355" s="146"/>
      <c r="K355" s="146"/>
      <c r="L355" s="146"/>
      <c r="M355" s="146"/>
      <c r="N355" s="146">
        <v>1</v>
      </c>
      <c r="O355" s="146"/>
      <c r="P355" s="146">
        <v>1</v>
      </c>
      <c r="Q355" s="146"/>
      <c r="R355" s="146"/>
      <c r="S355" s="146"/>
      <c r="T355" s="146"/>
    </row>
    <row r="356" spans="1:20" x14ac:dyDescent="0.3">
      <c r="A356" s="146" t="s">
        <v>185</v>
      </c>
      <c r="B356" s="146" t="s">
        <v>213</v>
      </c>
      <c r="C356" s="146" t="s">
        <v>2106</v>
      </c>
      <c r="D356" s="146">
        <v>1</v>
      </c>
      <c r="E356" s="146">
        <v>1</v>
      </c>
      <c r="F356" s="146">
        <v>1</v>
      </c>
      <c r="G356" s="146">
        <v>1</v>
      </c>
      <c r="H356" s="146">
        <v>1</v>
      </c>
      <c r="I356" s="146">
        <v>1</v>
      </c>
      <c r="J356" s="146">
        <v>1</v>
      </c>
      <c r="K356" s="146">
        <v>1</v>
      </c>
      <c r="L356" s="146"/>
      <c r="M356" s="146">
        <v>1</v>
      </c>
      <c r="N356" s="146">
        <v>1</v>
      </c>
      <c r="O356" s="146">
        <v>1</v>
      </c>
      <c r="P356" s="146">
        <v>1</v>
      </c>
      <c r="Q356" s="146"/>
      <c r="R356" s="146"/>
      <c r="S356" s="146"/>
      <c r="T356" s="146"/>
    </row>
    <row r="357" spans="1:20" x14ac:dyDescent="0.3">
      <c r="A357" s="146" t="s">
        <v>185</v>
      </c>
      <c r="B357" s="146" t="s">
        <v>2256</v>
      </c>
      <c r="C357" s="146" t="s">
        <v>2102</v>
      </c>
      <c r="D357" s="146">
        <v>1</v>
      </c>
      <c r="E357" s="146"/>
      <c r="F357" s="146"/>
      <c r="G357" s="146">
        <v>1</v>
      </c>
      <c r="H357" s="146"/>
      <c r="I357" s="146"/>
      <c r="J357" s="146"/>
      <c r="K357" s="146"/>
      <c r="L357" s="146"/>
      <c r="M357" s="146"/>
      <c r="N357" s="146">
        <v>1</v>
      </c>
      <c r="O357" s="146"/>
      <c r="P357" s="146">
        <v>1</v>
      </c>
      <c r="Q357" s="146"/>
      <c r="R357" s="146"/>
      <c r="S357" s="146"/>
      <c r="T357" s="146"/>
    </row>
    <row r="358" spans="1:20" x14ac:dyDescent="0.3">
      <c r="A358" s="146" t="s">
        <v>168</v>
      </c>
      <c r="B358" s="146" t="s">
        <v>2257</v>
      </c>
      <c r="C358" s="146" t="s">
        <v>2099</v>
      </c>
      <c r="D358" s="146">
        <v>1</v>
      </c>
      <c r="E358" s="146"/>
      <c r="F358" s="146"/>
      <c r="G358" s="146">
        <v>1</v>
      </c>
      <c r="H358" s="146">
        <v>1</v>
      </c>
      <c r="I358" s="146">
        <v>1</v>
      </c>
      <c r="J358" s="146"/>
      <c r="K358" s="146"/>
      <c r="L358" s="146"/>
      <c r="M358" s="146"/>
      <c r="N358" s="146">
        <v>1</v>
      </c>
      <c r="O358" s="146"/>
      <c r="P358" s="146">
        <v>1</v>
      </c>
      <c r="Q358" s="146"/>
      <c r="R358" s="146"/>
      <c r="S358" s="146"/>
      <c r="T358" s="146"/>
    </row>
    <row r="359" spans="1:20" x14ac:dyDescent="0.3">
      <c r="A359" s="146" t="s">
        <v>285</v>
      </c>
      <c r="B359" s="146" t="s">
        <v>2258</v>
      </c>
      <c r="C359" s="146" t="s">
        <v>2099</v>
      </c>
      <c r="D359" s="146">
        <v>1</v>
      </c>
      <c r="E359" s="146"/>
      <c r="F359" s="146"/>
      <c r="G359" s="146">
        <v>1</v>
      </c>
      <c r="H359" s="146">
        <v>1</v>
      </c>
      <c r="I359" s="146">
        <v>1</v>
      </c>
      <c r="J359" s="146"/>
      <c r="K359" s="146"/>
      <c r="L359" s="146"/>
      <c r="M359" s="146"/>
      <c r="N359" s="146">
        <v>1</v>
      </c>
      <c r="O359" s="146"/>
      <c r="P359" s="146">
        <v>1</v>
      </c>
      <c r="Q359" s="146"/>
      <c r="R359" s="146"/>
      <c r="S359" s="146"/>
      <c r="T359" s="146"/>
    </row>
    <row r="360" spans="1:20" x14ac:dyDescent="0.3">
      <c r="A360" s="146" t="s">
        <v>178</v>
      </c>
      <c r="B360" s="146" t="s">
        <v>2259</v>
      </c>
      <c r="C360" s="146" t="s">
        <v>2102</v>
      </c>
      <c r="D360" s="146">
        <v>1</v>
      </c>
      <c r="E360" s="146"/>
      <c r="F360" s="146"/>
      <c r="G360" s="146">
        <v>1</v>
      </c>
      <c r="H360" s="146"/>
      <c r="I360" s="146"/>
      <c r="J360" s="146"/>
      <c r="K360" s="146"/>
      <c r="L360" s="146"/>
      <c r="M360" s="146"/>
      <c r="N360" s="146">
        <v>1</v>
      </c>
      <c r="O360" s="146"/>
      <c r="P360" s="146"/>
      <c r="Q360" s="146"/>
      <c r="R360" s="146"/>
      <c r="S360" s="146"/>
      <c r="T360" s="146"/>
    </row>
    <row r="361" spans="1:20" x14ac:dyDescent="0.3">
      <c r="A361" s="146" t="s">
        <v>168</v>
      </c>
      <c r="B361" s="146" t="s">
        <v>835</v>
      </c>
      <c r="C361" s="146" t="s">
        <v>2099</v>
      </c>
      <c r="D361" s="146">
        <v>1</v>
      </c>
      <c r="E361" s="146"/>
      <c r="F361" s="146"/>
      <c r="G361" s="146">
        <v>1</v>
      </c>
      <c r="H361" s="146"/>
      <c r="I361" s="146"/>
      <c r="J361" s="146"/>
      <c r="K361" s="146"/>
      <c r="L361" s="146"/>
      <c r="M361" s="146"/>
      <c r="N361" s="146">
        <v>1</v>
      </c>
      <c r="O361" s="146"/>
      <c r="P361" s="146">
        <v>1</v>
      </c>
      <c r="Q361" s="146"/>
      <c r="R361" s="146"/>
      <c r="S361" s="146"/>
      <c r="T361" s="146"/>
    </row>
    <row r="362" spans="1:20" x14ac:dyDescent="0.3">
      <c r="A362" s="146" t="s">
        <v>180</v>
      </c>
      <c r="B362" s="146" t="s">
        <v>1437</v>
      </c>
      <c r="C362" s="146" t="s">
        <v>2099</v>
      </c>
      <c r="D362" s="146">
        <v>1</v>
      </c>
      <c r="E362" s="146">
        <v>1</v>
      </c>
      <c r="F362" s="146"/>
      <c r="G362" s="146">
        <v>1</v>
      </c>
      <c r="H362" s="146">
        <v>1</v>
      </c>
      <c r="I362" s="146">
        <v>1</v>
      </c>
      <c r="J362" s="146">
        <v>1</v>
      </c>
      <c r="K362" s="146"/>
      <c r="L362" s="146"/>
      <c r="M362" s="146"/>
      <c r="N362" s="146">
        <v>1</v>
      </c>
      <c r="O362" s="146"/>
      <c r="P362" s="146">
        <v>1</v>
      </c>
      <c r="Q362" s="146"/>
      <c r="R362" s="146"/>
      <c r="S362" s="146"/>
      <c r="T362" s="146"/>
    </row>
    <row r="363" spans="1:20" x14ac:dyDescent="0.3">
      <c r="A363" s="146" t="s">
        <v>182</v>
      </c>
      <c r="B363" s="146" t="s">
        <v>1542</v>
      </c>
      <c r="C363" s="146" t="s">
        <v>2099</v>
      </c>
      <c r="D363" s="146">
        <v>1</v>
      </c>
      <c r="E363" s="146">
        <v>1</v>
      </c>
      <c r="F363" s="146"/>
      <c r="G363" s="146">
        <v>1</v>
      </c>
      <c r="H363" s="146">
        <v>1</v>
      </c>
      <c r="I363" s="146">
        <v>1</v>
      </c>
      <c r="J363" s="146">
        <v>1</v>
      </c>
      <c r="K363" s="146"/>
      <c r="L363" s="146"/>
      <c r="M363" s="146"/>
      <c r="N363" s="146">
        <v>1</v>
      </c>
      <c r="O363" s="146"/>
      <c r="P363" s="146">
        <v>1</v>
      </c>
      <c r="Q363" s="146"/>
      <c r="R363" s="146"/>
      <c r="S363" s="146"/>
      <c r="T363" s="146"/>
    </row>
    <row r="364" spans="1:20" x14ac:dyDescent="0.3">
      <c r="A364" s="146" t="s">
        <v>162</v>
      </c>
      <c r="B364" s="146" t="s">
        <v>588</v>
      </c>
      <c r="C364" s="146" t="s">
        <v>2099</v>
      </c>
      <c r="D364" s="146">
        <v>1</v>
      </c>
      <c r="E364" s="146">
        <v>1</v>
      </c>
      <c r="F364" s="146"/>
      <c r="G364" s="146">
        <v>1</v>
      </c>
      <c r="H364" s="146">
        <v>1</v>
      </c>
      <c r="I364" s="146">
        <v>1</v>
      </c>
      <c r="J364" s="146">
        <v>1</v>
      </c>
      <c r="K364" s="146"/>
      <c r="L364" s="146"/>
      <c r="M364" s="146"/>
      <c r="N364" s="146">
        <v>1</v>
      </c>
      <c r="O364" s="146"/>
      <c r="P364" s="146">
        <v>1</v>
      </c>
      <c r="Q364" s="146"/>
      <c r="R364" s="146"/>
      <c r="S364" s="146"/>
      <c r="T364" s="146"/>
    </row>
    <row r="365" spans="1:20" x14ac:dyDescent="0.3">
      <c r="A365" s="146" t="s">
        <v>167</v>
      </c>
      <c r="B365" s="146" t="s">
        <v>2260</v>
      </c>
      <c r="C365" s="146" t="s">
        <v>2099</v>
      </c>
      <c r="D365" s="146">
        <v>1</v>
      </c>
      <c r="E365" s="146"/>
      <c r="F365" s="146"/>
      <c r="G365" s="146">
        <v>1</v>
      </c>
      <c r="H365" s="146"/>
      <c r="I365" s="146"/>
      <c r="J365" s="146"/>
      <c r="K365" s="146"/>
      <c r="L365" s="146"/>
      <c r="M365" s="146"/>
      <c r="N365" s="146">
        <v>1</v>
      </c>
      <c r="O365" s="146"/>
      <c r="P365" s="146">
        <v>1</v>
      </c>
      <c r="Q365" s="146"/>
      <c r="R365" s="146"/>
      <c r="S365" s="146"/>
      <c r="T365" s="146"/>
    </row>
    <row r="366" spans="1:20" x14ac:dyDescent="0.3">
      <c r="A366" s="146" t="s">
        <v>185</v>
      </c>
      <c r="B366" s="146" t="s">
        <v>2261</v>
      </c>
      <c r="C366" s="146" t="s">
        <v>2099</v>
      </c>
      <c r="D366" s="146">
        <v>1</v>
      </c>
      <c r="E366" s="146">
        <v>1</v>
      </c>
      <c r="F366" s="146"/>
      <c r="G366" s="146">
        <v>1</v>
      </c>
      <c r="H366" s="146">
        <v>1</v>
      </c>
      <c r="I366" s="146">
        <v>1</v>
      </c>
      <c r="J366" s="146"/>
      <c r="K366" s="146"/>
      <c r="L366" s="146"/>
      <c r="M366" s="146"/>
      <c r="N366" s="146">
        <v>1</v>
      </c>
      <c r="O366" s="146"/>
      <c r="P366" s="146">
        <v>1</v>
      </c>
      <c r="Q366" s="146"/>
      <c r="R366" s="146"/>
      <c r="S366" s="146"/>
      <c r="T366" s="146"/>
    </row>
    <row r="367" spans="1:20" x14ac:dyDescent="0.3">
      <c r="A367" s="146" t="s">
        <v>178</v>
      </c>
      <c r="B367" s="146" t="s">
        <v>1290</v>
      </c>
      <c r="C367" s="146" t="s">
        <v>2099</v>
      </c>
      <c r="D367" s="146">
        <v>1</v>
      </c>
      <c r="E367" s="146"/>
      <c r="F367" s="146"/>
      <c r="G367" s="146">
        <v>1</v>
      </c>
      <c r="H367" s="146">
        <v>1</v>
      </c>
      <c r="I367" s="146">
        <v>1</v>
      </c>
      <c r="J367" s="146"/>
      <c r="K367" s="146"/>
      <c r="L367" s="146"/>
      <c r="M367" s="146"/>
      <c r="N367" s="146">
        <v>1</v>
      </c>
      <c r="O367" s="146"/>
      <c r="P367" s="146">
        <v>1</v>
      </c>
      <c r="Q367" s="146"/>
      <c r="R367" s="146"/>
      <c r="S367" s="146"/>
      <c r="T367" s="146"/>
    </row>
    <row r="368" spans="1:20" x14ac:dyDescent="0.3">
      <c r="A368" s="146" t="s">
        <v>169</v>
      </c>
      <c r="B368" s="146" t="s">
        <v>2262</v>
      </c>
      <c r="C368" s="146" t="s">
        <v>149</v>
      </c>
      <c r="D368" s="146">
        <v>1</v>
      </c>
      <c r="E368" s="146">
        <v>1</v>
      </c>
      <c r="F368" s="146">
        <v>1</v>
      </c>
      <c r="G368" s="146">
        <v>1</v>
      </c>
      <c r="H368" s="146">
        <v>1</v>
      </c>
      <c r="I368" s="146">
        <v>1</v>
      </c>
      <c r="J368" s="146">
        <v>1</v>
      </c>
      <c r="K368" s="146">
        <v>1</v>
      </c>
      <c r="L368" s="146"/>
      <c r="M368" s="146"/>
      <c r="N368" s="146">
        <v>1</v>
      </c>
      <c r="O368" s="146"/>
      <c r="P368" s="146">
        <v>1</v>
      </c>
      <c r="Q368" s="146"/>
      <c r="R368" s="146"/>
      <c r="S368" s="146"/>
      <c r="T368" s="146"/>
    </row>
    <row r="369" spans="1:20" x14ac:dyDescent="0.3">
      <c r="A369" s="146" t="s">
        <v>178</v>
      </c>
      <c r="B369" s="146" t="s">
        <v>2263</v>
      </c>
      <c r="C369" s="146" t="s">
        <v>2099</v>
      </c>
      <c r="D369" s="146">
        <v>1</v>
      </c>
      <c r="E369" s="146"/>
      <c r="F369" s="146"/>
      <c r="G369" s="146">
        <v>1</v>
      </c>
      <c r="H369" s="146">
        <v>1</v>
      </c>
      <c r="I369" s="146">
        <v>1</v>
      </c>
      <c r="J369" s="146"/>
      <c r="K369" s="146"/>
      <c r="L369" s="146"/>
      <c r="M369" s="146"/>
      <c r="N369" s="146">
        <v>1</v>
      </c>
      <c r="O369" s="146"/>
      <c r="P369" s="146">
        <v>1</v>
      </c>
      <c r="Q369" s="146"/>
      <c r="R369" s="146"/>
      <c r="S369" s="146"/>
      <c r="T369" s="146"/>
    </row>
    <row r="370" spans="1:20" x14ac:dyDescent="0.3">
      <c r="A370" s="146" t="s">
        <v>285</v>
      </c>
      <c r="B370" s="146" t="s">
        <v>1986</v>
      </c>
      <c r="C370" s="146" t="s">
        <v>2099</v>
      </c>
      <c r="D370" s="146">
        <v>1</v>
      </c>
      <c r="E370" s="146">
        <v>1</v>
      </c>
      <c r="F370" s="146">
        <v>1</v>
      </c>
      <c r="G370" s="146">
        <v>1</v>
      </c>
      <c r="H370" s="146">
        <v>1</v>
      </c>
      <c r="I370" s="146">
        <v>1</v>
      </c>
      <c r="J370" s="146">
        <v>1</v>
      </c>
      <c r="K370" s="146"/>
      <c r="L370" s="146"/>
      <c r="M370" s="146"/>
      <c r="N370" s="146">
        <v>1</v>
      </c>
      <c r="O370" s="146"/>
      <c r="P370" s="146">
        <v>1</v>
      </c>
      <c r="Q370" s="146"/>
      <c r="R370" s="146"/>
      <c r="S370" s="146"/>
      <c r="T370" s="146"/>
    </row>
    <row r="371" spans="1:20" x14ac:dyDescent="0.3">
      <c r="A371" s="146" t="s">
        <v>285</v>
      </c>
      <c r="B371" s="146" t="s">
        <v>1987</v>
      </c>
      <c r="C371" s="146" t="s">
        <v>2099</v>
      </c>
      <c r="D371" s="146">
        <v>1</v>
      </c>
      <c r="E371" s="146"/>
      <c r="F371" s="146"/>
      <c r="G371" s="146">
        <v>1</v>
      </c>
      <c r="H371" s="146">
        <v>1</v>
      </c>
      <c r="I371" s="146">
        <v>1</v>
      </c>
      <c r="J371" s="146"/>
      <c r="K371" s="146"/>
      <c r="L371" s="146"/>
      <c r="M371" s="146"/>
      <c r="N371" s="146">
        <v>1</v>
      </c>
      <c r="O371" s="146"/>
      <c r="P371" s="146">
        <v>1</v>
      </c>
      <c r="Q371" s="146"/>
      <c r="R371" s="146"/>
      <c r="S371" s="146"/>
      <c r="T371" s="146"/>
    </row>
    <row r="372" spans="1:20" x14ac:dyDescent="0.3">
      <c r="A372" s="146" t="s">
        <v>179</v>
      </c>
      <c r="B372" s="146" t="s">
        <v>1329</v>
      </c>
      <c r="C372" s="146" t="s">
        <v>2099</v>
      </c>
      <c r="D372" s="146">
        <v>1</v>
      </c>
      <c r="E372" s="146">
        <v>1</v>
      </c>
      <c r="F372" s="146">
        <v>1</v>
      </c>
      <c r="G372" s="146">
        <v>1</v>
      </c>
      <c r="H372" s="146">
        <v>1</v>
      </c>
      <c r="I372" s="146">
        <v>1</v>
      </c>
      <c r="J372" s="146">
        <v>1</v>
      </c>
      <c r="K372" s="146"/>
      <c r="L372" s="146">
        <v>1</v>
      </c>
      <c r="M372" s="146"/>
      <c r="N372" s="146">
        <v>1</v>
      </c>
      <c r="O372" s="146"/>
      <c r="P372" s="146">
        <v>1</v>
      </c>
      <c r="Q372" s="146"/>
      <c r="R372" s="146"/>
      <c r="S372" s="146"/>
      <c r="T372" s="146"/>
    </row>
    <row r="373" spans="1:20" x14ac:dyDescent="0.3">
      <c r="A373" s="146" t="s">
        <v>156</v>
      </c>
      <c r="B373" s="146" t="s">
        <v>397</v>
      </c>
      <c r="C373" s="146" t="s">
        <v>2099</v>
      </c>
      <c r="D373" s="146">
        <v>1</v>
      </c>
      <c r="E373" s="146">
        <v>1</v>
      </c>
      <c r="F373" s="146"/>
      <c r="G373" s="146">
        <v>1</v>
      </c>
      <c r="H373" s="146">
        <v>1</v>
      </c>
      <c r="I373" s="146">
        <v>1</v>
      </c>
      <c r="J373" s="146">
        <v>1</v>
      </c>
      <c r="K373" s="146"/>
      <c r="L373" s="146"/>
      <c r="M373" s="146"/>
      <c r="N373" s="146">
        <v>1</v>
      </c>
      <c r="O373" s="146"/>
      <c r="P373" s="146">
        <v>1</v>
      </c>
      <c r="Q373" s="146"/>
      <c r="R373" s="146"/>
      <c r="S373" s="146"/>
      <c r="T373" s="146"/>
    </row>
    <row r="374" spans="1:20" x14ac:dyDescent="0.3">
      <c r="A374" s="146" t="s">
        <v>199</v>
      </c>
      <c r="B374" s="146" t="s">
        <v>1410</v>
      </c>
      <c r="C374" s="146" t="s">
        <v>2106</v>
      </c>
      <c r="D374" s="146"/>
      <c r="E374" s="146"/>
      <c r="F374" s="146">
        <v>1</v>
      </c>
      <c r="G374" s="146">
        <v>1</v>
      </c>
      <c r="H374" s="146"/>
      <c r="I374" s="146"/>
      <c r="J374" s="146">
        <v>1</v>
      </c>
      <c r="K374" s="146"/>
      <c r="L374" s="146"/>
      <c r="M374" s="146"/>
      <c r="N374" s="146">
        <v>1</v>
      </c>
      <c r="O374" s="146"/>
      <c r="P374" s="146">
        <v>1</v>
      </c>
      <c r="Q374" s="146"/>
      <c r="R374" s="146"/>
      <c r="S374" s="146"/>
      <c r="T374" s="146"/>
    </row>
    <row r="375" spans="1:20" x14ac:dyDescent="0.3">
      <c r="A375" s="146" t="s">
        <v>165</v>
      </c>
      <c r="B375" s="146" t="s">
        <v>747</v>
      </c>
      <c r="C375" s="146" t="s">
        <v>2099</v>
      </c>
      <c r="D375" s="146">
        <v>1</v>
      </c>
      <c r="E375" s="146"/>
      <c r="F375" s="146"/>
      <c r="G375" s="146">
        <v>1</v>
      </c>
      <c r="H375" s="146"/>
      <c r="I375" s="146"/>
      <c r="J375" s="146">
        <v>1</v>
      </c>
      <c r="K375" s="146"/>
      <c r="L375" s="146"/>
      <c r="M375" s="146"/>
      <c r="N375" s="146">
        <v>1</v>
      </c>
      <c r="O375" s="146"/>
      <c r="P375" s="146"/>
      <c r="Q375" s="146"/>
      <c r="R375" s="146">
        <v>1</v>
      </c>
      <c r="S375" s="146"/>
      <c r="T375" s="146"/>
    </row>
    <row r="376" spans="1:20" x14ac:dyDescent="0.3">
      <c r="A376" s="146" t="s">
        <v>168</v>
      </c>
      <c r="B376" s="146" t="s">
        <v>836</v>
      </c>
      <c r="C376" s="146" t="s">
        <v>2099</v>
      </c>
      <c r="D376" s="146">
        <v>1</v>
      </c>
      <c r="E376" s="146">
        <v>1</v>
      </c>
      <c r="F376" s="146"/>
      <c r="G376" s="146">
        <v>1</v>
      </c>
      <c r="H376" s="146">
        <v>1</v>
      </c>
      <c r="I376" s="146"/>
      <c r="J376" s="146"/>
      <c r="K376" s="146"/>
      <c r="L376" s="146"/>
      <c r="M376" s="146"/>
      <c r="N376" s="146">
        <v>1</v>
      </c>
      <c r="O376" s="146"/>
      <c r="P376" s="146">
        <v>1</v>
      </c>
      <c r="Q376" s="146"/>
      <c r="R376" s="146"/>
      <c r="S376" s="146"/>
      <c r="T376" s="146"/>
    </row>
    <row r="377" spans="1:20" x14ac:dyDescent="0.3">
      <c r="A377" s="146" t="s">
        <v>285</v>
      </c>
      <c r="B377" s="146" t="s">
        <v>1989</v>
      </c>
      <c r="C377" s="146" t="s">
        <v>2099</v>
      </c>
      <c r="D377" s="146">
        <v>1</v>
      </c>
      <c r="E377" s="146">
        <v>1</v>
      </c>
      <c r="F377" s="146"/>
      <c r="G377" s="146">
        <v>1</v>
      </c>
      <c r="H377" s="146">
        <v>1</v>
      </c>
      <c r="I377" s="146">
        <v>1</v>
      </c>
      <c r="J377" s="146">
        <v>1</v>
      </c>
      <c r="K377" s="146"/>
      <c r="L377" s="146"/>
      <c r="M377" s="146"/>
      <c r="N377" s="146">
        <v>1</v>
      </c>
      <c r="O377" s="146"/>
      <c r="P377" s="146">
        <v>1</v>
      </c>
      <c r="Q377" s="146"/>
      <c r="R377" s="146"/>
      <c r="S377" s="146"/>
      <c r="T377" s="146"/>
    </row>
    <row r="378" spans="1:20" x14ac:dyDescent="0.3">
      <c r="A378" s="146" t="s">
        <v>199</v>
      </c>
      <c r="B378" s="146" t="s">
        <v>2264</v>
      </c>
      <c r="C378" s="146" t="s">
        <v>2102</v>
      </c>
      <c r="D378" s="146">
        <v>1</v>
      </c>
      <c r="E378" s="146"/>
      <c r="F378" s="146"/>
      <c r="G378" s="146">
        <v>1</v>
      </c>
      <c r="H378" s="146"/>
      <c r="I378" s="146"/>
      <c r="J378" s="146"/>
      <c r="K378" s="146"/>
      <c r="L378" s="146"/>
      <c r="M378" s="146"/>
      <c r="N378" s="146">
        <v>1</v>
      </c>
      <c r="O378" s="146"/>
      <c r="P378" s="146">
        <v>1</v>
      </c>
      <c r="Q378" s="146"/>
      <c r="R378" s="146"/>
      <c r="S378" s="146"/>
      <c r="T378" s="146"/>
    </row>
    <row r="379" spans="1:20" x14ac:dyDescent="0.3">
      <c r="A379" s="146" t="s">
        <v>167</v>
      </c>
      <c r="B379" s="146" t="s">
        <v>2265</v>
      </c>
      <c r="C379" s="146" t="s">
        <v>2102</v>
      </c>
      <c r="D379" s="146">
        <v>1</v>
      </c>
      <c r="E379" s="146"/>
      <c r="F379" s="146"/>
      <c r="G379" s="146">
        <v>1</v>
      </c>
      <c r="H379" s="146">
        <v>1</v>
      </c>
      <c r="I379" s="146">
        <v>1</v>
      </c>
      <c r="J379" s="146">
        <v>1</v>
      </c>
      <c r="K379" s="146"/>
      <c r="L379" s="146"/>
      <c r="M379" s="146"/>
      <c r="N379" s="146">
        <v>1</v>
      </c>
      <c r="O379" s="146"/>
      <c r="P379" s="146">
        <v>1</v>
      </c>
      <c r="Q379" s="146"/>
      <c r="R379" s="146"/>
      <c r="S379" s="146"/>
      <c r="T379" s="146"/>
    </row>
    <row r="380" spans="1:20" x14ac:dyDescent="0.3">
      <c r="A380" s="146" t="s">
        <v>199</v>
      </c>
      <c r="B380" s="146" t="s">
        <v>2266</v>
      </c>
      <c r="C380" s="146" t="s">
        <v>2102</v>
      </c>
      <c r="D380" s="146">
        <v>1</v>
      </c>
      <c r="E380" s="146"/>
      <c r="F380" s="146"/>
      <c r="G380" s="146"/>
      <c r="H380" s="146"/>
      <c r="I380" s="146"/>
      <c r="J380" s="146"/>
      <c r="K380" s="146"/>
      <c r="L380" s="146"/>
      <c r="M380" s="146"/>
      <c r="N380" s="146">
        <v>1</v>
      </c>
      <c r="O380" s="146"/>
      <c r="P380" s="146">
        <v>1</v>
      </c>
      <c r="Q380" s="146"/>
      <c r="R380" s="146"/>
      <c r="S380" s="146"/>
      <c r="T380" s="146"/>
    </row>
    <row r="381" spans="1:20" x14ac:dyDescent="0.3">
      <c r="A381" s="146" t="s">
        <v>164</v>
      </c>
      <c r="B381" s="146" t="s">
        <v>667</v>
      </c>
      <c r="C381" s="146" t="s">
        <v>2099</v>
      </c>
      <c r="D381" s="146">
        <v>1</v>
      </c>
      <c r="E381" s="146">
        <v>1</v>
      </c>
      <c r="F381" s="146"/>
      <c r="G381" s="146">
        <v>1</v>
      </c>
      <c r="H381" s="146">
        <v>1</v>
      </c>
      <c r="I381" s="146">
        <v>1</v>
      </c>
      <c r="J381" s="146">
        <v>1</v>
      </c>
      <c r="K381" s="146"/>
      <c r="L381" s="146"/>
      <c r="M381" s="146"/>
      <c r="N381" s="146">
        <v>1</v>
      </c>
      <c r="O381" s="146"/>
      <c r="P381" s="146">
        <v>1</v>
      </c>
      <c r="Q381" s="146"/>
      <c r="R381" s="146"/>
      <c r="S381" s="146"/>
      <c r="T381" s="146"/>
    </row>
    <row r="382" spans="1:20" x14ac:dyDescent="0.3">
      <c r="A382" s="146" t="s">
        <v>163</v>
      </c>
      <c r="B382" s="146" t="s">
        <v>2267</v>
      </c>
      <c r="C382" s="146" t="s">
        <v>2099</v>
      </c>
      <c r="D382" s="146">
        <v>1</v>
      </c>
      <c r="E382" s="146">
        <v>1</v>
      </c>
      <c r="F382" s="146">
        <v>1</v>
      </c>
      <c r="G382" s="146">
        <v>1</v>
      </c>
      <c r="H382" s="146">
        <v>1</v>
      </c>
      <c r="I382" s="146">
        <v>1</v>
      </c>
      <c r="J382" s="146">
        <v>1</v>
      </c>
      <c r="K382" s="146"/>
      <c r="L382" s="146"/>
      <c r="M382" s="146"/>
      <c r="N382" s="146">
        <v>1</v>
      </c>
      <c r="O382" s="146"/>
      <c r="P382" s="146">
        <v>1</v>
      </c>
      <c r="Q382" s="146"/>
      <c r="R382" s="146"/>
      <c r="S382" s="146"/>
      <c r="T382" s="146"/>
    </row>
    <row r="383" spans="1:20" x14ac:dyDescent="0.3">
      <c r="A383" s="146" t="s">
        <v>158</v>
      </c>
      <c r="B383" s="146" t="s">
        <v>456</v>
      </c>
      <c r="C383" s="146" t="s">
        <v>2099</v>
      </c>
      <c r="D383" s="146">
        <v>1</v>
      </c>
      <c r="E383" s="146"/>
      <c r="F383" s="146"/>
      <c r="G383" s="146">
        <v>1</v>
      </c>
      <c r="H383" s="146">
        <v>1</v>
      </c>
      <c r="I383" s="146"/>
      <c r="J383" s="146">
        <v>1</v>
      </c>
      <c r="K383" s="146"/>
      <c r="L383" s="146"/>
      <c r="M383" s="146"/>
      <c r="N383" s="146">
        <v>1</v>
      </c>
      <c r="O383" s="146"/>
      <c r="P383" s="146">
        <v>1</v>
      </c>
      <c r="Q383" s="146"/>
      <c r="R383" s="146"/>
      <c r="S383" s="146"/>
      <c r="T383" s="146"/>
    </row>
    <row r="384" spans="1:20" x14ac:dyDescent="0.3">
      <c r="A384" s="146" t="s">
        <v>187</v>
      </c>
      <c r="B384" s="146" t="s">
        <v>1662</v>
      </c>
      <c r="C384" s="146" t="s">
        <v>2099</v>
      </c>
      <c r="D384" s="146">
        <v>1</v>
      </c>
      <c r="E384" s="146"/>
      <c r="F384" s="146"/>
      <c r="G384" s="146">
        <v>1</v>
      </c>
      <c r="H384" s="146">
        <v>1</v>
      </c>
      <c r="I384" s="146">
        <v>1</v>
      </c>
      <c r="J384" s="146"/>
      <c r="K384" s="146"/>
      <c r="L384" s="146"/>
      <c r="M384" s="146"/>
      <c r="N384" s="146">
        <v>1</v>
      </c>
      <c r="O384" s="146"/>
      <c r="P384" s="146">
        <v>1</v>
      </c>
      <c r="Q384" s="146"/>
      <c r="R384" s="146"/>
      <c r="S384" s="146"/>
      <c r="T384" s="146"/>
    </row>
    <row r="385" spans="1:20" x14ac:dyDescent="0.3">
      <c r="A385" s="146" t="s">
        <v>200</v>
      </c>
      <c r="B385" s="146" t="s">
        <v>2268</v>
      </c>
      <c r="C385" s="146" t="s">
        <v>2102</v>
      </c>
      <c r="D385" s="146">
        <v>1</v>
      </c>
      <c r="E385" s="146"/>
      <c r="F385" s="146"/>
      <c r="G385" s="146">
        <v>1</v>
      </c>
      <c r="H385" s="146"/>
      <c r="I385" s="146"/>
      <c r="J385" s="146"/>
      <c r="K385" s="146"/>
      <c r="L385" s="146"/>
      <c r="M385" s="146"/>
      <c r="N385" s="146">
        <v>1</v>
      </c>
      <c r="O385" s="146"/>
      <c r="P385" s="146">
        <v>1</v>
      </c>
      <c r="Q385" s="146"/>
      <c r="R385" s="146"/>
      <c r="S385" s="146"/>
      <c r="T385" s="146"/>
    </row>
    <row r="386" spans="1:20" x14ac:dyDescent="0.3">
      <c r="A386" s="146" t="s">
        <v>194</v>
      </c>
      <c r="B386" s="146" t="s">
        <v>1884</v>
      </c>
      <c r="C386" s="146" t="s">
        <v>2099</v>
      </c>
      <c r="D386" s="146">
        <v>1</v>
      </c>
      <c r="E386" s="146"/>
      <c r="F386" s="146"/>
      <c r="G386" s="146">
        <v>1</v>
      </c>
      <c r="H386" s="146"/>
      <c r="I386" s="146"/>
      <c r="J386" s="146"/>
      <c r="K386" s="146"/>
      <c r="L386" s="146"/>
      <c r="M386" s="146"/>
      <c r="N386" s="146">
        <v>1</v>
      </c>
      <c r="O386" s="146"/>
      <c r="P386" s="146">
        <v>1</v>
      </c>
      <c r="Q386" s="146"/>
      <c r="R386" s="146">
        <v>1</v>
      </c>
      <c r="S386" s="146"/>
      <c r="T386" s="146"/>
    </row>
    <row r="387" spans="1:20" x14ac:dyDescent="0.3">
      <c r="A387" s="146" t="s">
        <v>166</v>
      </c>
      <c r="B387" s="146" t="s">
        <v>773</v>
      </c>
      <c r="C387" s="146" t="s">
        <v>2099</v>
      </c>
      <c r="D387" s="146">
        <v>1</v>
      </c>
      <c r="E387" s="146">
        <v>1</v>
      </c>
      <c r="F387" s="146"/>
      <c r="G387" s="146">
        <v>1</v>
      </c>
      <c r="H387" s="146">
        <v>1</v>
      </c>
      <c r="I387" s="146"/>
      <c r="J387" s="146"/>
      <c r="K387" s="146"/>
      <c r="L387" s="146"/>
      <c r="M387" s="146"/>
      <c r="N387" s="146">
        <v>1</v>
      </c>
      <c r="O387" s="146"/>
      <c r="P387" s="146">
        <v>1</v>
      </c>
      <c r="Q387" s="146"/>
      <c r="R387" s="146"/>
      <c r="S387" s="146"/>
      <c r="T387" s="146"/>
    </row>
    <row r="388" spans="1:20" x14ac:dyDescent="0.3">
      <c r="A388" s="146" t="s">
        <v>170</v>
      </c>
      <c r="B388" s="146" t="s">
        <v>959</v>
      </c>
      <c r="C388" s="146" t="s">
        <v>2099</v>
      </c>
      <c r="D388" s="146">
        <v>1</v>
      </c>
      <c r="E388" s="146">
        <v>1</v>
      </c>
      <c r="F388" s="146"/>
      <c r="G388" s="146">
        <v>1</v>
      </c>
      <c r="H388" s="146">
        <v>1</v>
      </c>
      <c r="I388" s="146">
        <v>1</v>
      </c>
      <c r="J388" s="146">
        <v>1</v>
      </c>
      <c r="K388" s="146"/>
      <c r="L388" s="146"/>
      <c r="M388" s="146"/>
      <c r="N388" s="146">
        <v>1</v>
      </c>
      <c r="O388" s="146"/>
      <c r="P388" s="146">
        <v>1</v>
      </c>
      <c r="Q388" s="146"/>
      <c r="R388" s="146"/>
      <c r="S388" s="146"/>
      <c r="T388" s="146"/>
    </row>
    <row r="389" spans="1:20" x14ac:dyDescent="0.3">
      <c r="A389" s="146" t="s">
        <v>184</v>
      </c>
      <c r="B389" s="146" t="s">
        <v>2269</v>
      </c>
      <c r="C389" s="146" t="s">
        <v>2102</v>
      </c>
      <c r="D389" s="146">
        <v>1</v>
      </c>
      <c r="E389" s="146"/>
      <c r="F389" s="146"/>
      <c r="G389" s="146">
        <v>1</v>
      </c>
      <c r="H389" s="146"/>
      <c r="I389" s="146"/>
      <c r="J389" s="146"/>
      <c r="K389" s="146"/>
      <c r="L389" s="146"/>
      <c r="M389" s="146"/>
      <c r="N389" s="146">
        <v>1</v>
      </c>
      <c r="O389" s="146"/>
      <c r="P389" s="146">
        <v>1</v>
      </c>
      <c r="Q389" s="146"/>
      <c r="R389" s="146"/>
      <c r="S389" s="146"/>
      <c r="T389" s="146"/>
    </row>
    <row r="390" spans="1:20" x14ac:dyDescent="0.3">
      <c r="A390" s="146" t="s">
        <v>198</v>
      </c>
      <c r="B390" s="146" t="s">
        <v>637</v>
      </c>
      <c r="C390" s="146" t="s">
        <v>2099</v>
      </c>
      <c r="D390" s="146">
        <v>1</v>
      </c>
      <c r="E390" s="146">
        <v>1</v>
      </c>
      <c r="F390" s="146"/>
      <c r="G390" s="146">
        <v>1</v>
      </c>
      <c r="H390" s="146">
        <v>1</v>
      </c>
      <c r="I390" s="146">
        <v>1</v>
      </c>
      <c r="J390" s="146"/>
      <c r="K390" s="146"/>
      <c r="L390" s="146"/>
      <c r="M390" s="146"/>
      <c r="N390" s="146">
        <v>1</v>
      </c>
      <c r="O390" s="146"/>
      <c r="P390" s="146">
        <v>1</v>
      </c>
      <c r="Q390" s="146"/>
      <c r="R390" s="146"/>
      <c r="S390" s="146"/>
      <c r="T390" s="146"/>
    </row>
    <row r="391" spans="1:20" x14ac:dyDescent="0.3">
      <c r="A391" s="146" t="s">
        <v>198</v>
      </c>
      <c r="B391" s="146" t="s">
        <v>2270</v>
      </c>
      <c r="C391" s="146" t="s">
        <v>2102</v>
      </c>
      <c r="D391" s="146">
        <v>1</v>
      </c>
      <c r="E391" s="146"/>
      <c r="F391" s="146"/>
      <c r="G391" s="146">
        <v>1</v>
      </c>
      <c r="H391" s="146"/>
      <c r="I391" s="146"/>
      <c r="J391" s="146"/>
      <c r="K391" s="146"/>
      <c r="L391" s="146"/>
      <c r="M391" s="146"/>
      <c r="N391" s="146">
        <v>1</v>
      </c>
      <c r="O391" s="146"/>
      <c r="P391" s="146">
        <v>1</v>
      </c>
      <c r="Q391" s="146"/>
      <c r="R391" s="146">
        <v>1</v>
      </c>
      <c r="S391" s="146"/>
      <c r="T391" s="146"/>
    </row>
    <row r="392" spans="1:20" x14ac:dyDescent="0.3">
      <c r="A392" s="146" t="s">
        <v>187</v>
      </c>
      <c r="B392" s="146" t="s">
        <v>1663</v>
      </c>
      <c r="C392" s="146" t="s">
        <v>2106</v>
      </c>
      <c r="D392" s="146">
        <v>1</v>
      </c>
      <c r="E392" s="146">
        <v>1</v>
      </c>
      <c r="F392" s="146">
        <v>1</v>
      </c>
      <c r="G392" s="146">
        <v>1</v>
      </c>
      <c r="H392" s="146">
        <v>1</v>
      </c>
      <c r="I392" s="146">
        <v>1</v>
      </c>
      <c r="J392" s="146">
        <v>1</v>
      </c>
      <c r="K392" s="146">
        <v>1</v>
      </c>
      <c r="L392" s="146">
        <v>1</v>
      </c>
      <c r="M392" s="146">
        <v>1</v>
      </c>
      <c r="N392" s="146">
        <v>1</v>
      </c>
      <c r="O392" s="146">
        <v>1</v>
      </c>
      <c r="P392" s="146">
        <v>1</v>
      </c>
      <c r="Q392" s="146">
        <v>1</v>
      </c>
      <c r="R392" s="146"/>
      <c r="S392" s="146"/>
      <c r="T392" s="146"/>
    </row>
    <row r="393" spans="1:20" x14ac:dyDescent="0.3">
      <c r="A393" s="146" t="s">
        <v>187</v>
      </c>
      <c r="B393" s="146" t="s">
        <v>1664</v>
      </c>
      <c r="C393" s="146" t="s">
        <v>2099</v>
      </c>
      <c r="D393" s="146">
        <v>1</v>
      </c>
      <c r="E393" s="146">
        <v>1</v>
      </c>
      <c r="F393" s="146"/>
      <c r="G393" s="146">
        <v>1</v>
      </c>
      <c r="H393" s="146">
        <v>1</v>
      </c>
      <c r="I393" s="146">
        <v>1</v>
      </c>
      <c r="J393" s="146"/>
      <c r="K393" s="146"/>
      <c r="L393" s="146"/>
      <c r="M393" s="146"/>
      <c r="N393" s="146">
        <v>1</v>
      </c>
      <c r="O393" s="146"/>
      <c r="P393" s="146">
        <v>1</v>
      </c>
      <c r="Q393" s="146"/>
      <c r="R393" s="146"/>
      <c r="S393" s="146"/>
      <c r="T393" s="146"/>
    </row>
    <row r="394" spans="1:20" x14ac:dyDescent="0.3">
      <c r="A394" s="146" t="s">
        <v>154</v>
      </c>
      <c r="B394" s="146" t="s">
        <v>329</v>
      </c>
      <c r="C394" s="146" t="s">
        <v>2099</v>
      </c>
      <c r="D394" s="146">
        <v>1</v>
      </c>
      <c r="E394" s="146">
        <v>1</v>
      </c>
      <c r="F394" s="146"/>
      <c r="G394" s="146">
        <v>1</v>
      </c>
      <c r="H394" s="146">
        <v>1</v>
      </c>
      <c r="I394" s="146">
        <v>1</v>
      </c>
      <c r="J394" s="146"/>
      <c r="K394" s="146"/>
      <c r="L394" s="146"/>
      <c r="M394" s="146"/>
      <c r="N394" s="146">
        <v>1</v>
      </c>
      <c r="O394" s="146"/>
      <c r="P394" s="146">
        <v>1</v>
      </c>
      <c r="Q394" s="146"/>
      <c r="R394" s="146"/>
      <c r="S394" s="146"/>
      <c r="T394" s="146"/>
    </row>
    <row r="395" spans="1:20" x14ac:dyDescent="0.3">
      <c r="A395" s="146" t="s">
        <v>164</v>
      </c>
      <c r="B395" s="146" t="s">
        <v>668</v>
      </c>
      <c r="C395" s="146" t="s">
        <v>2099</v>
      </c>
      <c r="D395" s="146">
        <v>1</v>
      </c>
      <c r="E395" s="146">
        <v>1</v>
      </c>
      <c r="F395" s="146">
        <v>1</v>
      </c>
      <c r="G395" s="146">
        <v>1</v>
      </c>
      <c r="H395" s="146">
        <v>1</v>
      </c>
      <c r="I395" s="146">
        <v>1</v>
      </c>
      <c r="J395" s="146">
        <v>1</v>
      </c>
      <c r="K395" s="146">
        <v>1</v>
      </c>
      <c r="L395" s="146"/>
      <c r="M395" s="146"/>
      <c r="N395" s="146">
        <v>1</v>
      </c>
      <c r="O395" s="146"/>
      <c r="P395" s="146">
        <v>1</v>
      </c>
      <c r="Q395" s="146"/>
      <c r="R395" s="146"/>
      <c r="S395" s="146"/>
      <c r="T395" s="146"/>
    </row>
    <row r="396" spans="1:20" x14ac:dyDescent="0.3">
      <c r="A396" s="146" t="s">
        <v>155</v>
      </c>
      <c r="B396" s="146" t="s">
        <v>369</v>
      </c>
      <c r="C396" s="146" t="s">
        <v>2099</v>
      </c>
      <c r="D396" s="146">
        <v>1</v>
      </c>
      <c r="E396" s="146">
        <v>1</v>
      </c>
      <c r="F396" s="146"/>
      <c r="G396" s="146">
        <v>1</v>
      </c>
      <c r="H396" s="146">
        <v>1</v>
      </c>
      <c r="I396" s="146">
        <v>1</v>
      </c>
      <c r="J396" s="146"/>
      <c r="K396" s="146"/>
      <c r="L396" s="146"/>
      <c r="M396" s="146"/>
      <c r="N396" s="146">
        <v>1</v>
      </c>
      <c r="O396" s="146"/>
      <c r="P396" s="146">
        <v>1</v>
      </c>
      <c r="Q396" s="146"/>
      <c r="R396" s="146"/>
      <c r="S396" s="146"/>
      <c r="T396" s="146"/>
    </row>
    <row r="397" spans="1:20" x14ac:dyDescent="0.3">
      <c r="A397" s="146" t="s">
        <v>156</v>
      </c>
      <c r="B397" s="146" t="s">
        <v>398</v>
      </c>
      <c r="C397" s="146" t="s">
        <v>2099</v>
      </c>
      <c r="D397" s="146">
        <v>1</v>
      </c>
      <c r="E397" s="146">
        <v>1</v>
      </c>
      <c r="F397" s="146"/>
      <c r="G397" s="146">
        <v>1</v>
      </c>
      <c r="H397" s="146">
        <v>1</v>
      </c>
      <c r="I397" s="146">
        <v>1</v>
      </c>
      <c r="J397" s="146"/>
      <c r="K397" s="146"/>
      <c r="L397" s="146"/>
      <c r="M397" s="146"/>
      <c r="N397" s="146">
        <v>1</v>
      </c>
      <c r="O397" s="146"/>
      <c r="P397" s="146">
        <v>1</v>
      </c>
      <c r="Q397" s="146"/>
      <c r="R397" s="146"/>
      <c r="S397" s="146"/>
      <c r="T397" s="146"/>
    </row>
    <row r="398" spans="1:20" x14ac:dyDescent="0.3">
      <c r="A398" s="146" t="s">
        <v>155</v>
      </c>
      <c r="B398" s="146" t="s">
        <v>371</v>
      </c>
      <c r="C398" s="146" t="s">
        <v>2099</v>
      </c>
      <c r="D398" s="146">
        <v>1</v>
      </c>
      <c r="E398" s="146">
        <v>1</v>
      </c>
      <c r="F398" s="146">
        <v>1</v>
      </c>
      <c r="G398" s="146">
        <v>1</v>
      </c>
      <c r="H398" s="146">
        <v>1</v>
      </c>
      <c r="I398" s="146">
        <v>1</v>
      </c>
      <c r="J398" s="146">
        <v>1</v>
      </c>
      <c r="K398" s="146">
        <v>1</v>
      </c>
      <c r="L398" s="146"/>
      <c r="M398" s="146"/>
      <c r="N398" s="146">
        <v>1</v>
      </c>
      <c r="O398" s="146"/>
      <c r="P398" s="146">
        <v>1</v>
      </c>
      <c r="Q398" s="146"/>
      <c r="R398" s="146"/>
      <c r="S398" s="146"/>
      <c r="T398" s="146"/>
    </row>
    <row r="399" spans="1:20" x14ac:dyDescent="0.3">
      <c r="A399" s="146" t="s">
        <v>180</v>
      </c>
      <c r="B399" s="146" t="s">
        <v>1438</v>
      </c>
      <c r="C399" s="146" t="s">
        <v>2099</v>
      </c>
      <c r="D399" s="146">
        <v>1</v>
      </c>
      <c r="E399" s="146">
        <v>1</v>
      </c>
      <c r="F399" s="146"/>
      <c r="G399" s="146">
        <v>1</v>
      </c>
      <c r="H399" s="146">
        <v>1</v>
      </c>
      <c r="I399" s="146">
        <v>1</v>
      </c>
      <c r="J399" s="146"/>
      <c r="K399" s="146"/>
      <c r="L399" s="146"/>
      <c r="M399" s="146"/>
      <c r="N399" s="146">
        <v>1</v>
      </c>
      <c r="O399" s="146"/>
      <c r="P399" s="146">
        <v>1</v>
      </c>
      <c r="Q399" s="146"/>
      <c r="R399" s="146"/>
      <c r="S399" s="146"/>
      <c r="T399" s="146"/>
    </row>
    <row r="400" spans="1:20" x14ac:dyDescent="0.3">
      <c r="A400" s="146" t="s">
        <v>168</v>
      </c>
      <c r="B400" s="146" t="s">
        <v>2271</v>
      </c>
      <c r="C400" s="146" t="s">
        <v>2099</v>
      </c>
      <c r="D400" s="146">
        <v>1</v>
      </c>
      <c r="E400" s="146"/>
      <c r="F400" s="146"/>
      <c r="G400" s="146">
        <v>1</v>
      </c>
      <c r="H400" s="146"/>
      <c r="I400" s="146"/>
      <c r="J400" s="146"/>
      <c r="K400" s="146"/>
      <c r="L400" s="146"/>
      <c r="M400" s="146"/>
      <c r="N400" s="146">
        <v>1</v>
      </c>
      <c r="O400" s="146"/>
      <c r="P400" s="146">
        <v>1</v>
      </c>
      <c r="Q400" s="146"/>
      <c r="R400" s="146"/>
      <c r="S400" s="146"/>
      <c r="T400" s="146"/>
    </row>
    <row r="401" spans="1:20" x14ac:dyDescent="0.3">
      <c r="A401" s="146" t="s">
        <v>154</v>
      </c>
      <c r="B401" s="146" t="s">
        <v>2272</v>
      </c>
      <c r="C401" s="146" t="s">
        <v>2102</v>
      </c>
      <c r="D401" s="146">
        <v>1</v>
      </c>
      <c r="E401" s="146"/>
      <c r="F401" s="146"/>
      <c r="G401" s="146">
        <v>1</v>
      </c>
      <c r="H401" s="146"/>
      <c r="I401" s="146"/>
      <c r="J401" s="146"/>
      <c r="K401" s="146"/>
      <c r="L401" s="146"/>
      <c r="M401" s="146"/>
      <c r="N401" s="146">
        <v>1</v>
      </c>
      <c r="O401" s="146"/>
      <c r="P401" s="146">
        <v>1</v>
      </c>
      <c r="Q401" s="146"/>
      <c r="R401" s="146"/>
      <c r="S401" s="146"/>
      <c r="T401" s="146"/>
    </row>
    <row r="402" spans="1:20" x14ac:dyDescent="0.3">
      <c r="A402" s="146" t="s">
        <v>165</v>
      </c>
      <c r="B402" s="146" t="s">
        <v>2273</v>
      </c>
      <c r="C402" s="146" t="s">
        <v>149</v>
      </c>
      <c r="D402" s="146">
        <v>1</v>
      </c>
      <c r="E402" s="146"/>
      <c r="F402" s="146"/>
      <c r="G402" s="146">
        <v>1</v>
      </c>
      <c r="H402" s="146"/>
      <c r="I402" s="146"/>
      <c r="J402" s="146"/>
      <c r="K402" s="146"/>
      <c r="L402" s="146"/>
      <c r="M402" s="146"/>
      <c r="N402" s="146"/>
      <c r="O402" s="146"/>
      <c r="P402" s="146">
        <v>1</v>
      </c>
      <c r="Q402" s="146"/>
      <c r="R402" s="146"/>
      <c r="S402" s="146"/>
      <c r="T402" s="146"/>
    </row>
    <row r="403" spans="1:20" x14ac:dyDescent="0.3">
      <c r="A403" s="146" t="s">
        <v>180</v>
      </c>
      <c r="B403" s="146" t="s">
        <v>2274</v>
      </c>
      <c r="C403" s="146" t="s">
        <v>149</v>
      </c>
      <c r="D403" s="146">
        <v>1</v>
      </c>
      <c r="E403" s="146">
        <v>1</v>
      </c>
      <c r="F403" s="146">
        <v>1</v>
      </c>
      <c r="G403" s="146">
        <v>1</v>
      </c>
      <c r="H403" s="146">
        <v>1</v>
      </c>
      <c r="I403" s="146">
        <v>1</v>
      </c>
      <c r="J403" s="146">
        <v>1</v>
      </c>
      <c r="K403" s="146">
        <v>1</v>
      </c>
      <c r="L403" s="146"/>
      <c r="M403" s="146"/>
      <c r="N403" s="146">
        <v>1</v>
      </c>
      <c r="O403" s="146"/>
      <c r="P403" s="146">
        <v>1</v>
      </c>
      <c r="Q403" s="146"/>
      <c r="R403" s="146"/>
      <c r="S403" s="146"/>
      <c r="T403" s="146"/>
    </row>
    <row r="404" spans="1:20" x14ac:dyDescent="0.3">
      <c r="A404" s="146" t="s">
        <v>198</v>
      </c>
      <c r="B404" s="146" t="s">
        <v>2275</v>
      </c>
      <c r="C404" s="146" t="s">
        <v>149</v>
      </c>
      <c r="D404" s="146">
        <v>1</v>
      </c>
      <c r="E404" s="146">
        <v>1</v>
      </c>
      <c r="F404" s="146">
        <v>1</v>
      </c>
      <c r="G404" s="146">
        <v>1</v>
      </c>
      <c r="H404" s="146">
        <v>1</v>
      </c>
      <c r="I404" s="146">
        <v>1</v>
      </c>
      <c r="J404" s="146">
        <v>1</v>
      </c>
      <c r="K404" s="146">
        <v>1</v>
      </c>
      <c r="L404" s="146">
        <v>1</v>
      </c>
      <c r="M404" s="146">
        <v>1</v>
      </c>
      <c r="N404" s="146">
        <v>1</v>
      </c>
      <c r="O404" s="146"/>
      <c r="P404" s="146">
        <v>1</v>
      </c>
      <c r="Q404" s="146"/>
      <c r="R404" s="146"/>
      <c r="S404" s="146"/>
      <c r="T404" s="146"/>
    </row>
    <row r="405" spans="1:20" x14ac:dyDescent="0.3">
      <c r="A405" s="146" t="s">
        <v>168</v>
      </c>
      <c r="B405" s="146" t="s">
        <v>2276</v>
      </c>
      <c r="C405" s="146" t="s">
        <v>149</v>
      </c>
      <c r="D405" s="146">
        <v>1</v>
      </c>
      <c r="E405" s="146">
        <v>1</v>
      </c>
      <c r="F405" s="146"/>
      <c r="G405" s="146">
        <v>1</v>
      </c>
      <c r="H405" s="146">
        <v>1</v>
      </c>
      <c r="I405" s="146">
        <v>1</v>
      </c>
      <c r="J405" s="146">
        <v>1</v>
      </c>
      <c r="K405" s="146"/>
      <c r="L405" s="146"/>
      <c r="M405" s="146"/>
      <c r="N405" s="146">
        <v>1</v>
      </c>
      <c r="O405" s="146"/>
      <c r="P405" s="146">
        <v>1</v>
      </c>
      <c r="Q405" s="146"/>
      <c r="R405" s="146"/>
      <c r="S405" s="146"/>
      <c r="T405" s="146"/>
    </row>
    <row r="406" spans="1:20" x14ac:dyDescent="0.3">
      <c r="A406" s="146" t="s">
        <v>163</v>
      </c>
      <c r="B406" s="146" t="s">
        <v>2277</v>
      </c>
      <c r="C406" s="146" t="s">
        <v>149</v>
      </c>
      <c r="D406" s="146">
        <v>1</v>
      </c>
      <c r="E406" s="146">
        <v>1</v>
      </c>
      <c r="F406" s="146">
        <v>1</v>
      </c>
      <c r="G406" s="146">
        <v>1</v>
      </c>
      <c r="H406" s="146">
        <v>1</v>
      </c>
      <c r="I406" s="146">
        <v>1</v>
      </c>
      <c r="J406" s="146">
        <v>1</v>
      </c>
      <c r="K406" s="146">
        <v>1</v>
      </c>
      <c r="L406" s="146"/>
      <c r="M406" s="146"/>
      <c r="N406" s="146">
        <v>1</v>
      </c>
      <c r="O406" s="146">
        <v>1</v>
      </c>
      <c r="P406" s="146">
        <v>1</v>
      </c>
      <c r="Q406" s="146">
        <v>1</v>
      </c>
      <c r="R406" s="146"/>
      <c r="S406" s="146"/>
      <c r="T406" s="146"/>
    </row>
    <row r="407" spans="1:20" x14ac:dyDescent="0.3">
      <c r="A407" s="146" t="s">
        <v>285</v>
      </c>
      <c r="B407" s="146" t="s">
        <v>2278</v>
      </c>
      <c r="C407" s="146" t="s">
        <v>2099</v>
      </c>
      <c r="D407" s="146">
        <v>1</v>
      </c>
      <c r="E407" s="146">
        <v>1</v>
      </c>
      <c r="F407" s="146">
        <v>1</v>
      </c>
      <c r="G407" s="146">
        <v>1</v>
      </c>
      <c r="H407" s="146">
        <v>1</v>
      </c>
      <c r="I407" s="146">
        <v>1</v>
      </c>
      <c r="J407" s="146">
        <v>1</v>
      </c>
      <c r="K407" s="146"/>
      <c r="L407" s="146"/>
      <c r="M407" s="146"/>
      <c r="N407" s="146">
        <v>1</v>
      </c>
      <c r="O407" s="146"/>
      <c r="P407" s="146">
        <v>1</v>
      </c>
      <c r="Q407" s="146"/>
      <c r="R407" s="146"/>
      <c r="S407" s="146"/>
      <c r="T407" s="146"/>
    </row>
    <row r="408" spans="1:20" x14ac:dyDescent="0.3">
      <c r="A408" s="146" t="s">
        <v>285</v>
      </c>
      <c r="B408" s="146" t="s">
        <v>1990</v>
      </c>
      <c r="C408" s="146" t="s">
        <v>2099</v>
      </c>
      <c r="D408" s="146">
        <v>1</v>
      </c>
      <c r="E408" s="146">
        <v>1</v>
      </c>
      <c r="F408" s="146"/>
      <c r="G408" s="146">
        <v>1</v>
      </c>
      <c r="H408" s="146">
        <v>1</v>
      </c>
      <c r="I408" s="146">
        <v>1</v>
      </c>
      <c r="J408" s="146">
        <v>1</v>
      </c>
      <c r="K408" s="146"/>
      <c r="L408" s="146"/>
      <c r="M408" s="146"/>
      <c r="N408" s="146">
        <v>1</v>
      </c>
      <c r="O408" s="146"/>
      <c r="P408" s="146">
        <v>1</v>
      </c>
      <c r="Q408" s="146"/>
      <c r="R408" s="146"/>
      <c r="S408" s="146"/>
      <c r="T408" s="146"/>
    </row>
    <row r="409" spans="1:20" x14ac:dyDescent="0.3">
      <c r="A409" s="146" t="s">
        <v>180</v>
      </c>
      <c r="B409" s="146" t="s">
        <v>1439</v>
      </c>
      <c r="C409" s="146" t="s">
        <v>2099</v>
      </c>
      <c r="D409" s="146">
        <v>1</v>
      </c>
      <c r="E409" s="146"/>
      <c r="F409" s="146"/>
      <c r="G409" s="146">
        <v>1</v>
      </c>
      <c r="H409" s="146"/>
      <c r="I409" s="146"/>
      <c r="J409" s="146"/>
      <c r="K409" s="146"/>
      <c r="L409" s="146"/>
      <c r="M409" s="146"/>
      <c r="N409" s="146">
        <v>1</v>
      </c>
      <c r="O409" s="146"/>
      <c r="P409" s="146">
        <v>1</v>
      </c>
      <c r="Q409" s="146"/>
      <c r="R409" s="146"/>
      <c r="S409" s="146"/>
      <c r="T409" s="146"/>
    </row>
    <row r="410" spans="1:20" x14ac:dyDescent="0.3">
      <c r="A410" s="146" t="s">
        <v>174</v>
      </c>
      <c r="B410" s="146" t="s">
        <v>2279</v>
      </c>
      <c r="C410" s="146" t="s">
        <v>2099</v>
      </c>
      <c r="D410" s="146">
        <v>1</v>
      </c>
      <c r="E410" s="146">
        <v>1</v>
      </c>
      <c r="F410" s="146">
        <v>1</v>
      </c>
      <c r="G410" s="146">
        <v>1</v>
      </c>
      <c r="H410" s="146">
        <v>1</v>
      </c>
      <c r="I410" s="146">
        <v>1</v>
      </c>
      <c r="J410" s="146">
        <v>1</v>
      </c>
      <c r="K410" s="146"/>
      <c r="L410" s="146"/>
      <c r="M410" s="146"/>
      <c r="N410" s="146">
        <v>1</v>
      </c>
      <c r="O410" s="146"/>
      <c r="P410" s="146">
        <v>1</v>
      </c>
      <c r="Q410" s="146"/>
      <c r="R410" s="146"/>
      <c r="S410" s="146"/>
      <c r="T410" s="146"/>
    </row>
    <row r="411" spans="1:20" x14ac:dyDescent="0.3">
      <c r="A411" s="146" t="s">
        <v>167</v>
      </c>
      <c r="B411" s="146" t="s">
        <v>2280</v>
      </c>
      <c r="C411" s="146" t="s">
        <v>149</v>
      </c>
      <c r="D411" s="146">
        <v>1</v>
      </c>
      <c r="E411" s="146">
        <v>1</v>
      </c>
      <c r="F411" s="146">
        <v>1</v>
      </c>
      <c r="G411" s="146">
        <v>1</v>
      </c>
      <c r="H411" s="146">
        <v>1</v>
      </c>
      <c r="I411" s="146">
        <v>1</v>
      </c>
      <c r="J411" s="146">
        <v>1</v>
      </c>
      <c r="K411" s="146">
        <v>1</v>
      </c>
      <c r="L411" s="146"/>
      <c r="M411" s="146"/>
      <c r="N411" s="146">
        <v>1</v>
      </c>
      <c r="O411" s="146"/>
      <c r="P411" s="146">
        <v>1</v>
      </c>
      <c r="Q411" s="146"/>
      <c r="R411" s="146"/>
      <c r="S411" s="146"/>
      <c r="T411" s="146"/>
    </row>
    <row r="412" spans="1:20" x14ac:dyDescent="0.3">
      <c r="A412" s="146" t="s">
        <v>157</v>
      </c>
      <c r="B412" s="146" t="s">
        <v>439</v>
      </c>
      <c r="C412" s="146" t="s">
        <v>2099</v>
      </c>
      <c r="D412" s="146">
        <v>1</v>
      </c>
      <c r="E412" s="146">
        <v>1</v>
      </c>
      <c r="F412" s="146"/>
      <c r="G412" s="146">
        <v>1</v>
      </c>
      <c r="H412" s="146">
        <v>1</v>
      </c>
      <c r="I412" s="146">
        <v>1</v>
      </c>
      <c r="J412" s="146"/>
      <c r="K412" s="146"/>
      <c r="L412" s="146"/>
      <c r="M412" s="146"/>
      <c r="N412" s="146">
        <v>1</v>
      </c>
      <c r="O412" s="146"/>
      <c r="P412" s="146">
        <v>1</v>
      </c>
      <c r="Q412" s="146"/>
      <c r="R412" s="146"/>
      <c r="S412" s="146"/>
      <c r="T412" s="146"/>
    </row>
    <row r="413" spans="1:20" x14ac:dyDescent="0.3">
      <c r="A413" s="146" t="s">
        <v>188</v>
      </c>
      <c r="B413" s="146" t="s">
        <v>2281</v>
      </c>
      <c r="C413" s="146" t="s">
        <v>2099</v>
      </c>
      <c r="D413" s="146">
        <v>1</v>
      </c>
      <c r="E413" s="146">
        <v>1</v>
      </c>
      <c r="F413" s="146">
        <v>1</v>
      </c>
      <c r="G413" s="146">
        <v>1</v>
      </c>
      <c r="H413" s="146">
        <v>1</v>
      </c>
      <c r="I413" s="146">
        <v>1</v>
      </c>
      <c r="J413" s="146">
        <v>1</v>
      </c>
      <c r="K413" s="146"/>
      <c r="L413" s="146"/>
      <c r="M413" s="146">
        <v>1</v>
      </c>
      <c r="N413" s="146">
        <v>1</v>
      </c>
      <c r="O413" s="146"/>
      <c r="P413" s="146">
        <v>1</v>
      </c>
      <c r="Q413" s="146"/>
      <c r="R413" s="146"/>
      <c r="S413" s="146"/>
      <c r="T413" s="146"/>
    </row>
    <row r="414" spans="1:20" x14ac:dyDescent="0.3">
      <c r="A414" s="146" t="s">
        <v>174</v>
      </c>
      <c r="B414" s="146" t="s">
        <v>1116</v>
      </c>
      <c r="C414" s="146" t="s">
        <v>2099</v>
      </c>
      <c r="D414" s="146">
        <v>1</v>
      </c>
      <c r="E414" s="146">
        <v>1</v>
      </c>
      <c r="F414" s="146">
        <v>1</v>
      </c>
      <c r="G414" s="146">
        <v>1</v>
      </c>
      <c r="H414" s="146">
        <v>1</v>
      </c>
      <c r="I414" s="146">
        <v>1</v>
      </c>
      <c r="J414" s="146">
        <v>1</v>
      </c>
      <c r="K414" s="146"/>
      <c r="L414" s="146">
        <v>1</v>
      </c>
      <c r="M414" s="146"/>
      <c r="N414" s="146">
        <v>1</v>
      </c>
      <c r="O414" s="146"/>
      <c r="P414" s="146">
        <v>1</v>
      </c>
      <c r="Q414" s="146"/>
      <c r="R414" s="146"/>
      <c r="S414" s="146"/>
      <c r="T414" s="146"/>
    </row>
    <row r="415" spans="1:20" x14ac:dyDescent="0.3">
      <c r="A415" s="146" t="s">
        <v>165</v>
      </c>
      <c r="B415" s="146" t="s">
        <v>2282</v>
      </c>
      <c r="C415" s="146" t="s">
        <v>149</v>
      </c>
      <c r="D415" s="146">
        <v>1</v>
      </c>
      <c r="E415" s="146"/>
      <c r="F415" s="146">
        <v>1</v>
      </c>
      <c r="G415" s="146">
        <v>1</v>
      </c>
      <c r="H415" s="146"/>
      <c r="I415" s="146"/>
      <c r="J415" s="146">
        <v>1</v>
      </c>
      <c r="K415" s="146"/>
      <c r="L415" s="146">
        <v>1</v>
      </c>
      <c r="M415" s="146">
        <v>1</v>
      </c>
      <c r="N415" s="146">
        <v>1</v>
      </c>
      <c r="O415" s="146"/>
      <c r="P415" s="146">
        <v>1</v>
      </c>
      <c r="Q415" s="146"/>
      <c r="R415" s="146">
        <v>1</v>
      </c>
      <c r="S415" s="146"/>
      <c r="T415" s="146"/>
    </row>
    <row r="416" spans="1:20" x14ac:dyDescent="0.3">
      <c r="A416" s="146" t="s">
        <v>153</v>
      </c>
      <c r="B416" s="146" t="s">
        <v>2283</v>
      </c>
      <c r="C416" s="146" t="s">
        <v>2102</v>
      </c>
      <c r="D416" s="146">
        <v>1</v>
      </c>
      <c r="E416" s="146">
        <v>1</v>
      </c>
      <c r="F416" s="146"/>
      <c r="G416" s="146">
        <v>1</v>
      </c>
      <c r="H416" s="146">
        <v>1</v>
      </c>
      <c r="I416" s="146">
        <v>1</v>
      </c>
      <c r="J416" s="146"/>
      <c r="K416" s="146"/>
      <c r="L416" s="146"/>
      <c r="M416" s="146"/>
      <c r="N416" s="146">
        <v>1</v>
      </c>
      <c r="O416" s="146"/>
      <c r="P416" s="146">
        <v>1</v>
      </c>
      <c r="Q416" s="146"/>
      <c r="R416" s="146"/>
      <c r="S416" s="146"/>
      <c r="T416" s="146"/>
    </row>
    <row r="417" spans="1:20" x14ac:dyDescent="0.3">
      <c r="A417" s="146" t="s">
        <v>154</v>
      </c>
      <c r="B417" s="146" t="s">
        <v>2284</v>
      </c>
      <c r="C417" s="146" t="s">
        <v>149</v>
      </c>
      <c r="D417" s="146">
        <v>1</v>
      </c>
      <c r="E417" s="146">
        <v>1</v>
      </c>
      <c r="F417" s="146">
        <v>1</v>
      </c>
      <c r="G417" s="146">
        <v>1</v>
      </c>
      <c r="H417" s="146">
        <v>1</v>
      </c>
      <c r="I417" s="146">
        <v>1</v>
      </c>
      <c r="J417" s="146">
        <v>1</v>
      </c>
      <c r="K417" s="146">
        <v>1</v>
      </c>
      <c r="L417" s="146">
        <v>1</v>
      </c>
      <c r="M417" s="146">
        <v>1</v>
      </c>
      <c r="N417" s="146">
        <v>1</v>
      </c>
      <c r="O417" s="146">
        <v>1</v>
      </c>
      <c r="P417" s="146">
        <v>1</v>
      </c>
      <c r="Q417" s="146"/>
      <c r="R417" s="146"/>
      <c r="S417" s="146">
        <v>1</v>
      </c>
      <c r="T417" s="146"/>
    </row>
    <row r="418" spans="1:20" x14ac:dyDescent="0.3">
      <c r="A418" s="146" t="s">
        <v>156</v>
      </c>
      <c r="B418" s="146" t="s">
        <v>399</v>
      </c>
      <c r="C418" s="146" t="s">
        <v>2099</v>
      </c>
      <c r="D418" s="146">
        <v>1</v>
      </c>
      <c r="E418" s="146">
        <v>1</v>
      </c>
      <c r="F418" s="146"/>
      <c r="G418" s="146">
        <v>1</v>
      </c>
      <c r="H418" s="146">
        <v>1</v>
      </c>
      <c r="I418" s="146">
        <v>1</v>
      </c>
      <c r="J418" s="146">
        <v>1</v>
      </c>
      <c r="K418" s="146"/>
      <c r="L418" s="146"/>
      <c r="M418" s="146"/>
      <c r="N418" s="146">
        <v>1</v>
      </c>
      <c r="O418" s="146"/>
      <c r="P418" s="146">
        <v>1</v>
      </c>
      <c r="Q418" s="146"/>
      <c r="R418" s="146"/>
      <c r="S418" s="146"/>
      <c r="T418" s="146"/>
    </row>
    <row r="419" spans="1:20" x14ac:dyDescent="0.3">
      <c r="A419" s="146" t="s">
        <v>163</v>
      </c>
      <c r="B419" s="146" t="s">
        <v>2285</v>
      </c>
      <c r="C419" s="146" t="s">
        <v>2106</v>
      </c>
      <c r="D419" s="146">
        <v>1</v>
      </c>
      <c r="E419" s="146">
        <v>1</v>
      </c>
      <c r="F419" s="146">
        <v>1</v>
      </c>
      <c r="G419" s="146">
        <v>1</v>
      </c>
      <c r="H419" s="146">
        <v>1</v>
      </c>
      <c r="I419" s="146">
        <v>1</v>
      </c>
      <c r="J419" s="146">
        <v>1</v>
      </c>
      <c r="K419" s="146">
        <v>1</v>
      </c>
      <c r="L419" s="146">
        <v>1</v>
      </c>
      <c r="M419" s="146">
        <v>1</v>
      </c>
      <c r="N419" s="146">
        <v>1</v>
      </c>
      <c r="O419" s="146">
        <v>1</v>
      </c>
      <c r="P419" s="146">
        <v>1</v>
      </c>
      <c r="Q419" s="146"/>
      <c r="R419" s="146"/>
      <c r="S419" s="146"/>
      <c r="T419" s="146"/>
    </row>
    <row r="420" spans="1:20" x14ac:dyDescent="0.3">
      <c r="A420" s="146" t="s">
        <v>163</v>
      </c>
      <c r="B420" s="146" t="s">
        <v>703</v>
      </c>
      <c r="C420" s="146" t="s">
        <v>2099</v>
      </c>
      <c r="D420" s="146">
        <v>1</v>
      </c>
      <c r="E420" s="146">
        <v>1</v>
      </c>
      <c r="F420" s="146">
        <v>1</v>
      </c>
      <c r="G420" s="146">
        <v>1</v>
      </c>
      <c r="H420" s="146">
        <v>1</v>
      </c>
      <c r="I420" s="146">
        <v>1</v>
      </c>
      <c r="J420" s="146">
        <v>1</v>
      </c>
      <c r="K420" s="146"/>
      <c r="L420" s="146"/>
      <c r="M420" s="146"/>
      <c r="N420" s="146">
        <v>1</v>
      </c>
      <c r="O420" s="146"/>
      <c r="P420" s="146">
        <v>1</v>
      </c>
      <c r="Q420" s="146"/>
      <c r="R420" s="146"/>
      <c r="S420" s="146"/>
      <c r="T420" s="146"/>
    </row>
    <row r="421" spans="1:20" x14ac:dyDescent="0.3">
      <c r="A421" s="146" t="s">
        <v>177</v>
      </c>
      <c r="B421" s="146" t="s">
        <v>1234</v>
      </c>
      <c r="C421" s="146" t="s">
        <v>2099</v>
      </c>
      <c r="D421" s="146">
        <v>1</v>
      </c>
      <c r="E421" s="146"/>
      <c r="F421" s="146"/>
      <c r="G421" s="146">
        <v>1</v>
      </c>
      <c r="H421" s="146"/>
      <c r="I421" s="146"/>
      <c r="J421" s="146"/>
      <c r="K421" s="146"/>
      <c r="L421" s="146"/>
      <c r="M421" s="146"/>
      <c r="N421" s="146">
        <v>1</v>
      </c>
      <c r="O421" s="146"/>
      <c r="P421" s="146">
        <v>1</v>
      </c>
      <c r="Q421" s="146"/>
      <c r="R421" s="146"/>
      <c r="S421" s="146"/>
      <c r="T421" s="146"/>
    </row>
    <row r="422" spans="1:20" x14ac:dyDescent="0.3">
      <c r="A422" s="146" t="s">
        <v>183</v>
      </c>
      <c r="B422" s="146" t="s">
        <v>2286</v>
      </c>
      <c r="C422" s="146" t="s">
        <v>2102</v>
      </c>
      <c r="D422" s="146">
        <v>1</v>
      </c>
      <c r="E422" s="146"/>
      <c r="F422" s="146"/>
      <c r="G422" s="146">
        <v>1</v>
      </c>
      <c r="H422" s="146"/>
      <c r="I422" s="146"/>
      <c r="J422" s="146"/>
      <c r="K422" s="146"/>
      <c r="L422" s="146"/>
      <c r="M422" s="146"/>
      <c r="N422" s="146">
        <v>1</v>
      </c>
      <c r="O422" s="146"/>
      <c r="P422" s="146">
        <v>1</v>
      </c>
      <c r="Q422" s="146"/>
      <c r="R422" s="146"/>
      <c r="S422" s="146"/>
      <c r="T422" s="146"/>
    </row>
    <row r="423" spans="1:20" x14ac:dyDescent="0.3">
      <c r="A423" s="146" t="s">
        <v>170</v>
      </c>
      <c r="B423" s="146" t="s">
        <v>960</v>
      </c>
      <c r="C423" s="146" t="s">
        <v>2102</v>
      </c>
      <c r="D423" s="146">
        <v>1</v>
      </c>
      <c r="E423" s="146">
        <v>1</v>
      </c>
      <c r="F423" s="146"/>
      <c r="G423" s="146">
        <v>1</v>
      </c>
      <c r="H423" s="146">
        <v>1</v>
      </c>
      <c r="I423" s="146">
        <v>1</v>
      </c>
      <c r="J423" s="146"/>
      <c r="K423" s="146"/>
      <c r="L423" s="146"/>
      <c r="M423" s="146"/>
      <c r="N423" s="146">
        <v>1</v>
      </c>
      <c r="O423" s="146"/>
      <c r="P423" s="146">
        <v>1</v>
      </c>
      <c r="Q423" s="146"/>
      <c r="R423" s="146"/>
      <c r="S423" s="146"/>
      <c r="T423" s="146"/>
    </row>
    <row r="424" spans="1:20" x14ac:dyDescent="0.3">
      <c r="A424" s="146" t="s">
        <v>285</v>
      </c>
      <c r="B424" s="146" t="s">
        <v>1991</v>
      </c>
      <c r="C424" s="146" t="s">
        <v>2099</v>
      </c>
      <c r="D424" s="146">
        <v>1</v>
      </c>
      <c r="E424" s="146">
        <v>1</v>
      </c>
      <c r="F424" s="146"/>
      <c r="G424" s="146">
        <v>1</v>
      </c>
      <c r="H424" s="146">
        <v>1</v>
      </c>
      <c r="I424" s="146">
        <v>1</v>
      </c>
      <c r="J424" s="146"/>
      <c r="K424" s="146"/>
      <c r="L424" s="146"/>
      <c r="M424" s="146"/>
      <c r="N424" s="146">
        <v>1</v>
      </c>
      <c r="O424" s="146"/>
      <c r="P424" s="146">
        <v>1</v>
      </c>
      <c r="Q424" s="146"/>
      <c r="R424" s="146"/>
      <c r="S424" s="146"/>
      <c r="T424" s="146"/>
    </row>
    <row r="425" spans="1:20" x14ac:dyDescent="0.3">
      <c r="A425" s="146" t="s">
        <v>182</v>
      </c>
      <c r="B425" s="146" t="s">
        <v>1543</v>
      </c>
      <c r="C425" s="146" t="s">
        <v>2099</v>
      </c>
      <c r="D425" s="146">
        <v>1</v>
      </c>
      <c r="E425" s="146">
        <v>1</v>
      </c>
      <c r="F425" s="146">
        <v>1</v>
      </c>
      <c r="G425" s="146">
        <v>1</v>
      </c>
      <c r="H425" s="146">
        <v>1</v>
      </c>
      <c r="I425" s="146">
        <v>1</v>
      </c>
      <c r="J425" s="146">
        <v>1</v>
      </c>
      <c r="K425" s="146"/>
      <c r="L425" s="146">
        <v>1</v>
      </c>
      <c r="M425" s="146"/>
      <c r="N425" s="146">
        <v>1</v>
      </c>
      <c r="O425" s="146"/>
      <c r="P425" s="146">
        <v>1</v>
      </c>
      <c r="Q425" s="146"/>
      <c r="R425" s="146"/>
      <c r="S425" s="146"/>
      <c r="T425" s="146"/>
    </row>
    <row r="426" spans="1:20" x14ac:dyDescent="0.3">
      <c r="A426" s="146" t="s">
        <v>169</v>
      </c>
      <c r="B426" s="146" t="s">
        <v>906</v>
      </c>
      <c r="C426" s="146" t="s">
        <v>2099</v>
      </c>
      <c r="D426" s="146">
        <v>1</v>
      </c>
      <c r="E426" s="146">
        <v>1</v>
      </c>
      <c r="F426" s="146">
        <v>1</v>
      </c>
      <c r="G426" s="146">
        <v>1</v>
      </c>
      <c r="H426" s="146">
        <v>1</v>
      </c>
      <c r="I426" s="146">
        <v>1</v>
      </c>
      <c r="J426" s="146">
        <v>1</v>
      </c>
      <c r="K426" s="146"/>
      <c r="L426" s="146"/>
      <c r="M426" s="146"/>
      <c r="N426" s="146">
        <v>1</v>
      </c>
      <c r="O426" s="146"/>
      <c r="P426" s="146">
        <v>1</v>
      </c>
      <c r="Q426" s="146"/>
      <c r="R426" s="146"/>
      <c r="S426" s="146"/>
      <c r="T426" s="146"/>
    </row>
    <row r="427" spans="1:20" x14ac:dyDescent="0.3">
      <c r="A427" s="146" t="s">
        <v>179</v>
      </c>
      <c r="B427" s="146" t="s">
        <v>1330</v>
      </c>
      <c r="C427" s="146" t="s">
        <v>2099</v>
      </c>
      <c r="D427" s="146">
        <v>1</v>
      </c>
      <c r="E427" s="146"/>
      <c r="F427" s="146"/>
      <c r="G427" s="146">
        <v>1</v>
      </c>
      <c r="H427" s="146"/>
      <c r="I427" s="146"/>
      <c r="J427" s="146">
        <v>1</v>
      </c>
      <c r="K427" s="146"/>
      <c r="L427" s="146"/>
      <c r="M427" s="146"/>
      <c r="N427" s="146">
        <v>1</v>
      </c>
      <c r="O427" s="146"/>
      <c r="P427" s="146">
        <v>1</v>
      </c>
      <c r="Q427" s="146"/>
      <c r="R427" s="146"/>
      <c r="S427" s="146"/>
      <c r="T427" s="146"/>
    </row>
    <row r="428" spans="1:20" x14ac:dyDescent="0.3">
      <c r="A428" s="146" t="s">
        <v>191</v>
      </c>
      <c r="B428" s="146" t="s">
        <v>2287</v>
      </c>
      <c r="C428" s="146" t="s">
        <v>2102</v>
      </c>
      <c r="D428" s="146">
        <v>1</v>
      </c>
      <c r="E428" s="146"/>
      <c r="F428" s="146"/>
      <c r="G428" s="146">
        <v>1</v>
      </c>
      <c r="H428" s="146"/>
      <c r="I428" s="146"/>
      <c r="J428" s="146"/>
      <c r="K428" s="146"/>
      <c r="L428" s="146"/>
      <c r="M428" s="146"/>
      <c r="N428" s="146">
        <v>1</v>
      </c>
      <c r="O428" s="146"/>
      <c r="P428" s="146">
        <v>1</v>
      </c>
      <c r="Q428" s="146"/>
      <c r="R428" s="146"/>
      <c r="S428" s="146"/>
      <c r="T428" s="146"/>
    </row>
    <row r="429" spans="1:20" x14ac:dyDescent="0.3">
      <c r="A429" s="146" t="s">
        <v>190</v>
      </c>
      <c r="B429" s="146" t="s">
        <v>2288</v>
      </c>
      <c r="C429" s="146" t="s">
        <v>2102</v>
      </c>
      <c r="D429" s="146">
        <v>1</v>
      </c>
      <c r="E429" s="146"/>
      <c r="F429" s="146"/>
      <c r="G429" s="146">
        <v>1</v>
      </c>
      <c r="H429" s="146"/>
      <c r="I429" s="146"/>
      <c r="J429" s="146"/>
      <c r="K429" s="146"/>
      <c r="L429" s="146"/>
      <c r="M429" s="146"/>
      <c r="N429" s="146">
        <v>1</v>
      </c>
      <c r="O429" s="146"/>
      <c r="P429" s="146">
        <v>1</v>
      </c>
      <c r="Q429" s="146"/>
      <c r="R429" s="146"/>
      <c r="S429" s="146"/>
      <c r="T429" s="146"/>
    </row>
    <row r="430" spans="1:20" x14ac:dyDescent="0.3">
      <c r="A430" s="146" t="s">
        <v>193</v>
      </c>
      <c r="B430" s="146" t="s">
        <v>1840</v>
      </c>
      <c r="C430" s="146" t="s">
        <v>2099</v>
      </c>
      <c r="D430" s="146">
        <v>1</v>
      </c>
      <c r="E430" s="146">
        <v>1</v>
      </c>
      <c r="F430" s="146"/>
      <c r="G430" s="146">
        <v>1</v>
      </c>
      <c r="H430" s="146">
        <v>1</v>
      </c>
      <c r="I430" s="146">
        <v>1</v>
      </c>
      <c r="J430" s="146"/>
      <c r="K430" s="146"/>
      <c r="L430" s="146"/>
      <c r="M430" s="146"/>
      <c r="N430" s="146">
        <v>1</v>
      </c>
      <c r="O430" s="146"/>
      <c r="P430" s="146">
        <v>1</v>
      </c>
      <c r="Q430" s="146"/>
      <c r="R430" s="146"/>
      <c r="S430" s="146"/>
      <c r="T430" s="146"/>
    </row>
    <row r="431" spans="1:20" x14ac:dyDescent="0.3">
      <c r="A431" s="146" t="s">
        <v>193</v>
      </c>
      <c r="B431" s="146" t="s">
        <v>1841</v>
      </c>
      <c r="C431" s="146" t="s">
        <v>2106</v>
      </c>
      <c r="D431" s="146">
        <v>1</v>
      </c>
      <c r="E431" s="146"/>
      <c r="F431" s="146"/>
      <c r="G431" s="146">
        <v>1</v>
      </c>
      <c r="H431" s="146"/>
      <c r="I431" s="146"/>
      <c r="J431" s="146"/>
      <c r="K431" s="146"/>
      <c r="L431" s="146"/>
      <c r="M431" s="146"/>
      <c r="N431" s="146">
        <v>1</v>
      </c>
      <c r="O431" s="146"/>
      <c r="P431" s="146">
        <v>1</v>
      </c>
      <c r="Q431" s="146"/>
      <c r="R431" s="146"/>
      <c r="S431" s="146"/>
      <c r="T431" s="146"/>
    </row>
    <row r="432" spans="1:20" x14ac:dyDescent="0.3">
      <c r="A432" s="146" t="s">
        <v>187</v>
      </c>
      <c r="B432" s="146" t="s">
        <v>1665</v>
      </c>
      <c r="C432" s="146" t="s">
        <v>2099</v>
      </c>
      <c r="D432" s="146">
        <v>1</v>
      </c>
      <c r="E432" s="146">
        <v>1</v>
      </c>
      <c r="F432" s="146"/>
      <c r="G432" s="146">
        <v>1</v>
      </c>
      <c r="H432" s="146">
        <v>1</v>
      </c>
      <c r="I432" s="146">
        <v>1</v>
      </c>
      <c r="J432" s="146">
        <v>1</v>
      </c>
      <c r="K432" s="146"/>
      <c r="L432" s="146"/>
      <c r="M432" s="146"/>
      <c r="N432" s="146">
        <v>1</v>
      </c>
      <c r="O432" s="146"/>
      <c r="P432" s="146">
        <v>1</v>
      </c>
      <c r="Q432" s="146"/>
      <c r="R432" s="146"/>
      <c r="S432" s="146"/>
      <c r="T432" s="146"/>
    </row>
    <row r="433" spans="1:20" x14ac:dyDescent="0.3">
      <c r="A433" s="146" t="s">
        <v>178</v>
      </c>
      <c r="B433" s="146" t="s">
        <v>1292</v>
      </c>
      <c r="C433" s="146" t="s">
        <v>2099</v>
      </c>
      <c r="D433" s="146">
        <v>1</v>
      </c>
      <c r="E433" s="146"/>
      <c r="F433" s="146"/>
      <c r="G433" s="146">
        <v>1</v>
      </c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>
        <v>1</v>
      </c>
      <c r="S433" s="146"/>
      <c r="T433" s="146"/>
    </row>
    <row r="434" spans="1:20" x14ac:dyDescent="0.3">
      <c r="A434" s="146" t="s">
        <v>199</v>
      </c>
      <c r="B434" s="146" t="s">
        <v>2289</v>
      </c>
      <c r="C434" s="146" t="s">
        <v>2102</v>
      </c>
      <c r="D434" s="146">
        <v>1</v>
      </c>
      <c r="E434" s="146"/>
      <c r="F434" s="146"/>
      <c r="G434" s="146">
        <v>1</v>
      </c>
      <c r="H434" s="146"/>
      <c r="I434" s="146"/>
      <c r="J434" s="146"/>
      <c r="K434" s="146"/>
      <c r="L434" s="146"/>
      <c r="M434" s="146"/>
      <c r="N434" s="146">
        <v>1</v>
      </c>
      <c r="O434" s="146"/>
      <c r="P434" s="146">
        <v>1</v>
      </c>
      <c r="Q434" s="146"/>
      <c r="R434" s="146"/>
      <c r="S434" s="146"/>
      <c r="T434" s="146"/>
    </row>
    <row r="435" spans="1:20" x14ac:dyDescent="0.3">
      <c r="A435" s="146" t="s">
        <v>187</v>
      </c>
      <c r="B435" s="146" t="s">
        <v>1666</v>
      </c>
      <c r="C435" s="146" t="s">
        <v>2099</v>
      </c>
      <c r="D435" s="146">
        <v>1</v>
      </c>
      <c r="E435" s="146"/>
      <c r="F435" s="146"/>
      <c r="G435" s="146">
        <v>1</v>
      </c>
      <c r="H435" s="146">
        <v>1</v>
      </c>
      <c r="I435" s="146">
        <v>1</v>
      </c>
      <c r="J435" s="146"/>
      <c r="K435" s="146"/>
      <c r="L435" s="146"/>
      <c r="M435" s="146"/>
      <c r="N435" s="146">
        <v>1</v>
      </c>
      <c r="O435" s="146"/>
      <c r="P435" s="146">
        <v>1</v>
      </c>
      <c r="Q435" s="146"/>
      <c r="R435" s="146"/>
      <c r="S435" s="146"/>
      <c r="T435" s="146"/>
    </row>
    <row r="436" spans="1:20" x14ac:dyDescent="0.3">
      <c r="A436" s="146" t="s">
        <v>194</v>
      </c>
      <c r="B436" s="146" t="s">
        <v>1886</v>
      </c>
      <c r="C436" s="146" t="s">
        <v>2106</v>
      </c>
      <c r="D436" s="146">
        <v>1</v>
      </c>
      <c r="E436" s="146">
        <v>1</v>
      </c>
      <c r="F436" s="146">
        <v>1</v>
      </c>
      <c r="G436" s="146">
        <v>1</v>
      </c>
      <c r="H436" s="146">
        <v>1</v>
      </c>
      <c r="I436" s="146">
        <v>1</v>
      </c>
      <c r="J436" s="146">
        <v>1</v>
      </c>
      <c r="K436" s="146"/>
      <c r="L436" s="146">
        <v>1</v>
      </c>
      <c r="M436" s="146">
        <v>1</v>
      </c>
      <c r="N436" s="146">
        <v>1</v>
      </c>
      <c r="O436" s="146">
        <v>1</v>
      </c>
      <c r="P436" s="146">
        <v>1</v>
      </c>
      <c r="Q436" s="146"/>
      <c r="R436" s="146"/>
      <c r="S436" s="146"/>
      <c r="T436" s="146"/>
    </row>
    <row r="437" spans="1:20" x14ac:dyDescent="0.3">
      <c r="A437" s="146" t="s">
        <v>165</v>
      </c>
      <c r="B437" s="146" t="s">
        <v>2290</v>
      </c>
      <c r="C437" s="146" t="s">
        <v>2102</v>
      </c>
      <c r="D437" s="146">
        <v>1</v>
      </c>
      <c r="E437" s="146"/>
      <c r="F437" s="146"/>
      <c r="G437" s="146">
        <v>1</v>
      </c>
      <c r="H437" s="146">
        <v>1</v>
      </c>
      <c r="I437" s="146">
        <v>1</v>
      </c>
      <c r="J437" s="146"/>
      <c r="K437" s="146"/>
      <c r="L437" s="146"/>
      <c r="M437" s="146"/>
      <c r="N437" s="146">
        <v>1</v>
      </c>
      <c r="O437" s="146"/>
      <c r="P437" s="146">
        <v>1</v>
      </c>
      <c r="Q437" s="146"/>
      <c r="R437" s="146"/>
      <c r="S437" s="146"/>
      <c r="T437" s="146"/>
    </row>
    <row r="438" spans="1:20" x14ac:dyDescent="0.3">
      <c r="A438" s="146" t="s">
        <v>199</v>
      </c>
      <c r="B438" s="146" t="s">
        <v>2291</v>
      </c>
      <c r="C438" s="146" t="s">
        <v>2102</v>
      </c>
      <c r="D438" s="146">
        <v>1</v>
      </c>
      <c r="E438" s="146"/>
      <c r="F438" s="146"/>
      <c r="G438" s="146">
        <v>1</v>
      </c>
      <c r="H438" s="146"/>
      <c r="I438" s="146"/>
      <c r="J438" s="146"/>
      <c r="K438" s="146"/>
      <c r="L438" s="146"/>
      <c r="M438" s="146"/>
      <c r="N438" s="146">
        <v>1</v>
      </c>
      <c r="O438" s="146"/>
      <c r="P438" s="146">
        <v>1</v>
      </c>
      <c r="Q438" s="146"/>
      <c r="R438" s="146"/>
      <c r="S438" s="146"/>
      <c r="T438" s="146"/>
    </row>
    <row r="439" spans="1:20" x14ac:dyDescent="0.3">
      <c r="A439" s="146" t="s">
        <v>185</v>
      </c>
      <c r="B439" s="146" t="s">
        <v>2292</v>
      </c>
      <c r="C439" s="146" t="s">
        <v>2102</v>
      </c>
      <c r="D439" s="146">
        <v>1</v>
      </c>
      <c r="E439" s="146"/>
      <c r="F439" s="146"/>
      <c r="G439" s="146">
        <v>1</v>
      </c>
      <c r="H439" s="146"/>
      <c r="I439" s="146"/>
      <c r="J439" s="146"/>
      <c r="K439" s="146"/>
      <c r="L439" s="146"/>
      <c r="M439" s="146"/>
      <c r="N439" s="146">
        <v>1</v>
      </c>
      <c r="O439" s="146"/>
      <c r="P439" s="146">
        <v>1</v>
      </c>
      <c r="Q439" s="146"/>
      <c r="R439" s="146"/>
      <c r="S439" s="146"/>
      <c r="T439" s="146"/>
    </row>
    <row r="440" spans="1:20" x14ac:dyDescent="0.3">
      <c r="A440" s="146" t="s">
        <v>163</v>
      </c>
      <c r="B440" s="146" t="s">
        <v>704</v>
      </c>
      <c r="C440" s="146" t="s">
        <v>2099</v>
      </c>
      <c r="D440" s="146">
        <v>1</v>
      </c>
      <c r="E440" s="146">
        <v>1</v>
      </c>
      <c r="F440" s="146">
        <v>1</v>
      </c>
      <c r="G440" s="146">
        <v>1</v>
      </c>
      <c r="H440" s="146">
        <v>1</v>
      </c>
      <c r="I440" s="146">
        <v>1</v>
      </c>
      <c r="J440" s="146">
        <v>1</v>
      </c>
      <c r="K440" s="146"/>
      <c r="L440" s="146"/>
      <c r="M440" s="146"/>
      <c r="N440" s="146">
        <v>1</v>
      </c>
      <c r="O440" s="146"/>
      <c r="P440" s="146">
        <v>1</v>
      </c>
      <c r="Q440" s="146"/>
      <c r="R440" s="146"/>
      <c r="S440" s="146"/>
      <c r="T440" s="146"/>
    </row>
    <row r="441" spans="1:20" x14ac:dyDescent="0.3">
      <c r="A441" s="146" t="s">
        <v>155</v>
      </c>
      <c r="B441" s="146" t="s">
        <v>373</v>
      </c>
      <c r="C441" s="146" t="s">
        <v>2106</v>
      </c>
      <c r="D441" s="146">
        <v>1</v>
      </c>
      <c r="E441" s="146">
        <v>1</v>
      </c>
      <c r="F441" s="146">
        <v>1</v>
      </c>
      <c r="G441" s="146">
        <v>1</v>
      </c>
      <c r="H441" s="146">
        <v>1</v>
      </c>
      <c r="I441" s="146">
        <v>1</v>
      </c>
      <c r="J441" s="146">
        <v>1</v>
      </c>
      <c r="K441" s="146">
        <v>1</v>
      </c>
      <c r="L441" s="146">
        <v>1</v>
      </c>
      <c r="M441" s="146"/>
      <c r="N441" s="146">
        <v>1</v>
      </c>
      <c r="O441" s="146"/>
      <c r="P441" s="146">
        <v>1</v>
      </c>
      <c r="Q441" s="146"/>
      <c r="R441" s="146"/>
      <c r="S441" s="146"/>
      <c r="T441" s="146"/>
    </row>
    <row r="442" spans="1:20" x14ac:dyDescent="0.3">
      <c r="A442" s="146" t="s">
        <v>199</v>
      </c>
      <c r="B442" s="146" t="s">
        <v>2293</v>
      </c>
      <c r="C442" s="146" t="s">
        <v>2102</v>
      </c>
      <c r="D442" s="146">
        <v>1</v>
      </c>
      <c r="E442" s="146"/>
      <c r="F442" s="146"/>
      <c r="G442" s="146">
        <v>1</v>
      </c>
      <c r="H442" s="146"/>
      <c r="I442" s="146"/>
      <c r="J442" s="146"/>
      <c r="K442" s="146"/>
      <c r="L442" s="146"/>
      <c r="M442" s="146"/>
      <c r="N442" s="146">
        <v>1</v>
      </c>
      <c r="O442" s="146"/>
      <c r="P442" s="146">
        <v>1</v>
      </c>
      <c r="Q442" s="146"/>
      <c r="R442" s="146"/>
      <c r="S442" s="146"/>
      <c r="T442" s="146"/>
    </row>
    <row r="443" spans="1:20" x14ac:dyDescent="0.3">
      <c r="A443" s="146" t="s">
        <v>188</v>
      </c>
      <c r="B443" s="146" t="s">
        <v>1706</v>
      </c>
      <c r="C443" s="146" t="s">
        <v>2099</v>
      </c>
      <c r="D443" s="146">
        <v>1</v>
      </c>
      <c r="E443" s="146">
        <v>1</v>
      </c>
      <c r="F443" s="146">
        <v>1</v>
      </c>
      <c r="G443" s="146">
        <v>1</v>
      </c>
      <c r="H443" s="146">
        <v>1</v>
      </c>
      <c r="I443" s="146">
        <v>1</v>
      </c>
      <c r="J443" s="146">
        <v>1</v>
      </c>
      <c r="K443" s="146"/>
      <c r="L443" s="146"/>
      <c r="M443" s="146"/>
      <c r="N443" s="146">
        <v>1</v>
      </c>
      <c r="O443" s="146"/>
      <c r="P443" s="146">
        <v>1</v>
      </c>
      <c r="Q443" s="146"/>
      <c r="R443" s="146"/>
      <c r="S443" s="146"/>
      <c r="T443" s="146"/>
    </row>
    <row r="444" spans="1:20" x14ac:dyDescent="0.3">
      <c r="A444" s="146" t="s">
        <v>188</v>
      </c>
      <c r="B444" s="146" t="s">
        <v>1707</v>
      </c>
      <c r="C444" s="146" t="s">
        <v>2102</v>
      </c>
      <c r="D444" s="146">
        <v>1</v>
      </c>
      <c r="E444" s="146"/>
      <c r="F444" s="146"/>
      <c r="G444" s="146">
        <v>1</v>
      </c>
      <c r="H444" s="146"/>
      <c r="I444" s="146"/>
      <c r="J444" s="146"/>
      <c r="K444" s="146"/>
      <c r="L444" s="146"/>
      <c r="M444" s="146"/>
      <c r="N444" s="146">
        <v>1</v>
      </c>
      <c r="O444" s="146"/>
      <c r="P444" s="146">
        <v>1</v>
      </c>
      <c r="Q444" s="146"/>
      <c r="R444" s="146"/>
      <c r="S444" s="146"/>
      <c r="T444" s="146"/>
    </row>
    <row r="445" spans="1:20" x14ac:dyDescent="0.3">
      <c r="A445" s="146" t="s">
        <v>187</v>
      </c>
      <c r="B445" s="146" t="s">
        <v>1667</v>
      </c>
      <c r="C445" s="146" t="s">
        <v>2099</v>
      </c>
      <c r="D445" s="146">
        <v>1</v>
      </c>
      <c r="E445" s="146">
        <v>1</v>
      </c>
      <c r="F445" s="146"/>
      <c r="G445" s="146">
        <v>1</v>
      </c>
      <c r="H445" s="146">
        <v>1</v>
      </c>
      <c r="I445" s="146">
        <v>1</v>
      </c>
      <c r="J445" s="146">
        <v>1</v>
      </c>
      <c r="K445" s="146">
        <v>1</v>
      </c>
      <c r="L445" s="146"/>
      <c r="M445" s="146"/>
      <c r="N445" s="146">
        <v>1</v>
      </c>
      <c r="O445" s="146"/>
      <c r="P445" s="146">
        <v>1</v>
      </c>
      <c r="Q445" s="146"/>
      <c r="R445" s="146"/>
      <c r="S445" s="146"/>
      <c r="T445" s="146"/>
    </row>
    <row r="446" spans="1:20" x14ac:dyDescent="0.3">
      <c r="A446" s="146" t="s">
        <v>193</v>
      </c>
      <c r="B446" s="146" t="s">
        <v>2294</v>
      </c>
      <c r="C446" s="146" t="s">
        <v>2099</v>
      </c>
      <c r="D446" s="146">
        <v>1</v>
      </c>
      <c r="E446" s="146">
        <v>1</v>
      </c>
      <c r="F446" s="146">
        <v>1</v>
      </c>
      <c r="G446" s="146">
        <v>1</v>
      </c>
      <c r="H446" s="146">
        <v>1</v>
      </c>
      <c r="I446" s="146">
        <v>1</v>
      </c>
      <c r="J446" s="146"/>
      <c r="K446" s="146"/>
      <c r="L446" s="146"/>
      <c r="M446" s="146">
        <v>1</v>
      </c>
      <c r="N446" s="146">
        <v>1</v>
      </c>
      <c r="O446" s="146"/>
      <c r="P446" s="146">
        <v>1</v>
      </c>
      <c r="Q446" s="146"/>
      <c r="R446" s="146"/>
      <c r="S446" s="146"/>
      <c r="T446" s="146"/>
    </row>
    <row r="447" spans="1:20" x14ac:dyDescent="0.3">
      <c r="A447" s="146" t="s">
        <v>169</v>
      </c>
      <c r="B447" s="146" t="s">
        <v>907</v>
      </c>
      <c r="C447" s="146" t="s">
        <v>2099</v>
      </c>
      <c r="D447" s="146">
        <v>1</v>
      </c>
      <c r="E447" s="146"/>
      <c r="F447" s="146"/>
      <c r="G447" s="146">
        <v>1</v>
      </c>
      <c r="H447" s="146"/>
      <c r="I447" s="146"/>
      <c r="J447" s="146"/>
      <c r="K447" s="146"/>
      <c r="L447" s="146"/>
      <c r="M447" s="146"/>
      <c r="N447" s="146">
        <v>1</v>
      </c>
      <c r="O447" s="146"/>
      <c r="P447" s="146">
        <v>1</v>
      </c>
      <c r="Q447" s="146"/>
      <c r="R447" s="146">
        <v>1</v>
      </c>
      <c r="S447" s="146"/>
      <c r="T447" s="146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16"/>
  <sheetViews>
    <sheetView showGridLines="0" zoomScaleNormal="100" workbookViewId="0">
      <selection activeCell="C3" sqref="B3:C3"/>
    </sheetView>
  </sheetViews>
  <sheetFormatPr defaultColWidth="8.5546875" defaultRowHeight="14.4" x14ac:dyDescent="0.3"/>
  <cols>
    <col min="2" max="2" width="6" customWidth="1"/>
    <col min="3" max="3" width="58" customWidth="1"/>
    <col min="4" max="4" width="38" customWidth="1"/>
    <col min="5" max="5" width="12" customWidth="1"/>
    <col min="6" max="6" width="14" customWidth="1"/>
  </cols>
  <sheetData>
    <row r="2" spans="2:4" ht="15" customHeight="1" x14ac:dyDescent="0.3">
      <c r="B2" s="28" t="s">
        <v>151</v>
      </c>
      <c r="C2" s="28" t="s">
        <v>146</v>
      </c>
      <c r="D2" s="28" t="s">
        <v>201</v>
      </c>
    </row>
    <row r="3" spans="2:4" ht="13.5" customHeight="1" x14ac:dyDescent="0.3">
      <c r="B3" s="29" t="s">
        <v>158</v>
      </c>
      <c r="C3" s="29" t="s">
        <v>202</v>
      </c>
      <c r="D3" s="30">
        <v>5</v>
      </c>
    </row>
    <row r="4" spans="2:4" ht="13.5" customHeight="1" x14ac:dyDescent="0.3">
      <c r="B4" s="29" t="s">
        <v>159</v>
      </c>
      <c r="C4" s="29" t="s">
        <v>203</v>
      </c>
      <c r="D4" s="30">
        <v>5</v>
      </c>
    </row>
    <row r="5" spans="2:4" ht="13.5" customHeight="1" x14ac:dyDescent="0.3">
      <c r="B5" s="29" t="s">
        <v>162</v>
      </c>
      <c r="C5" s="29" t="s">
        <v>204</v>
      </c>
      <c r="D5" s="30">
        <v>5</v>
      </c>
    </row>
    <row r="6" spans="2:4" ht="13.5" customHeight="1" x14ac:dyDescent="0.3">
      <c r="B6" s="29" t="s">
        <v>164</v>
      </c>
      <c r="C6" s="29" t="s">
        <v>205</v>
      </c>
      <c r="D6" s="30">
        <v>5</v>
      </c>
    </row>
    <row r="7" spans="2:4" ht="13.5" customHeight="1" x14ac:dyDescent="0.3">
      <c r="B7" s="29" t="s">
        <v>163</v>
      </c>
      <c r="C7" s="29" t="s">
        <v>206</v>
      </c>
      <c r="D7" s="30">
        <v>10</v>
      </c>
    </row>
    <row r="8" spans="2:4" ht="13.5" customHeight="1" x14ac:dyDescent="0.3">
      <c r="B8" s="29" t="s">
        <v>165</v>
      </c>
      <c r="C8" s="29" t="s">
        <v>207</v>
      </c>
      <c r="D8" s="30">
        <v>5</v>
      </c>
    </row>
    <row r="9" spans="2:4" ht="13.5" customHeight="1" x14ac:dyDescent="0.3">
      <c r="B9" s="29" t="s">
        <v>166</v>
      </c>
      <c r="C9" s="29" t="s">
        <v>208</v>
      </c>
      <c r="D9" s="30">
        <v>5</v>
      </c>
    </row>
    <row r="10" spans="2:4" ht="13.5" customHeight="1" x14ac:dyDescent="0.3">
      <c r="B10" s="29" t="s">
        <v>174</v>
      </c>
      <c r="C10" s="29" t="s">
        <v>209</v>
      </c>
      <c r="D10" s="30">
        <v>5</v>
      </c>
    </row>
    <row r="11" spans="2:4" ht="13.5" customHeight="1" x14ac:dyDescent="0.3">
      <c r="B11" s="29" t="s">
        <v>177</v>
      </c>
      <c r="C11" s="29" t="s">
        <v>210</v>
      </c>
      <c r="D11" s="30">
        <v>5</v>
      </c>
    </row>
    <row r="12" spans="2:4" ht="13.5" customHeight="1" x14ac:dyDescent="0.3">
      <c r="B12" s="29" t="s">
        <v>178</v>
      </c>
      <c r="C12" s="29" t="s">
        <v>211</v>
      </c>
      <c r="D12" s="30">
        <v>5</v>
      </c>
    </row>
    <row r="13" spans="2:4" ht="13.5" customHeight="1" x14ac:dyDescent="0.3">
      <c r="B13" s="29" t="s">
        <v>182</v>
      </c>
      <c r="C13" s="29" t="s">
        <v>212</v>
      </c>
      <c r="D13" s="30">
        <v>5</v>
      </c>
    </row>
    <row r="14" spans="2:4" ht="13.5" customHeight="1" x14ac:dyDescent="0.3">
      <c r="B14" s="29" t="s">
        <v>185</v>
      </c>
      <c r="C14" s="29" t="s">
        <v>213</v>
      </c>
      <c r="D14" s="30">
        <v>5</v>
      </c>
    </row>
    <row r="15" spans="2:4" ht="13.5" customHeight="1" x14ac:dyDescent="0.3">
      <c r="B15" s="31" t="s">
        <v>214</v>
      </c>
      <c r="C15" s="31"/>
      <c r="D15" s="32">
        <v>65</v>
      </c>
    </row>
    <row r="18" spans="2:6" ht="15" customHeight="1" x14ac:dyDescent="0.3">
      <c r="B18" s="33" t="s">
        <v>197</v>
      </c>
      <c r="C18" s="33" t="s">
        <v>151</v>
      </c>
      <c r="D18" s="33" t="s">
        <v>215</v>
      </c>
      <c r="E18" s="33" t="s">
        <v>216</v>
      </c>
      <c r="F18" s="33" t="s">
        <v>217</v>
      </c>
    </row>
    <row r="19" spans="2:6" ht="13.5" customHeight="1" x14ac:dyDescent="0.3">
      <c r="B19" s="30">
        <v>1</v>
      </c>
      <c r="C19" s="29" t="s">
        <v>158</v>
      </c>
      <c r="D19" s="29" t="s">
        <v>202</v>
      </c>
      <c r="E19" s="30">
        <v>1</v>
      </c>
      <c r="F19" s="30" t="s">
        <v>218</v>
      </c>
    </row>
    <row r="20" spans="2:6" ht="13.5" customHeight="1" x14ac:dyDescent="0.3">
      <c r="B20" s="30">
        <v>2</v>
      </c>
      <c r="C20" s="29" t="s">
        <v>158</v>
      </c>
      <c r="D20" s="29" t="s">
        <v>202</v>
      </c>
      <c r="E20" s="30">
        <v>2</v>
      </c>
      <c r="F20" s="30" t="s">
        <v>219</v>
      </c>
    </row>
    <row r="21" spans="2:6" ht="13.5" customHeight="1" x14ac:dyDescent="0.3">
      <c r="B21" s="30">
        <v>3</v>
      </c>
      <c r="C21" s="29" t="s">
        <v>158</v>
      </c>
      <c r="D21" s="29" t="s">
        <v>202</v>
      </c>
      <c r="E21" s="30">
        <v>3</v>
      </c>
      <c r="F21" s="30" t="s">
        <v>220</v>
      </c>
    </row>
    <row r="22" spans="2:6" ht="13.5" customHeight="1" x14ac:dyDescent="0.3">
      <c r="B22" s="30">
        <v>4</v>
      </c>
      <c r="C22" s="29" t="s">
        <v>158</v>
      </c>
      <c r="D22" s="29" t="s">
        <v>202</v>
      </c>
      <c r="E22" s="30">
        <v>4</v>
      </c>
      <c r="F22" s="30" t="s">
        <v>221</v>
      </c>
    </row>
    <row r="23" spans="2:6" ht="13.5" customHeight="1" x14ac:dyDescent="0.3">
      <c r="B23" s="30">
        <v>5</v>
      </c>
      <c r="C23" s="29" t="s">
        <v>158</v>
      </c>
      <c r="D23" s="29" t="s">
        <v>202</v>
      </c>
      <c r="E23" s="30">
        <v>5</v>
      </c>
      <c r="F23" s="30" t="s">
        <v>222</v>
      </c>
    </row>
    <row r="26" spans="2:6" ht="15" customHeight="1" x14ac:dyDescent="0.3">
      <c r="B26" s="33" t="s">
        <v>197</v>
      </c>
      <c r="C26" s="33" t="s">
        <v>151</v>
      </c>
      <c r="D26" s="33" t="s">
        <v>215</v>
      </c>
      <c r="E26" s="33" t="s">
        <v>216</v>
      </c>
      <c r="F26" s="33" t="s">
        <v>217</v>
      </c>
    </row>
    <row r="27" spans="2:6" ht="13.5" customHeight="1" x14ac:dyDescent="0.3">
      <c r="B27" s="30">
        <v>1</v>
      </c>
      <c r="C27" s="29" t="s">
        <v>159</v>
      </c>
      <c r="D27" s="29" t="s">
        <v>203</v>
      </c>
      <c r="E27" s="30">
        <v>1</v>
      </c>
      <c r="F27" s="30" t="s">
        <v>223</v>
      </c>
    </row>
    <row r="28" spans="2:6" ht="13.5" customHeight="1" x14ac:dyDescent="0.3">
      <c r="B28" s="30">
        <v>2</v>
      </c>
      <c r="C28" s="29" t="s">
        <v>159</v>
      </c>
      <c r="D28" s="29" t="s">
        <v>203</v>
      </c>
      <c r="E28" s="30">
        <v>2</v>
      </c>
      <c r="F28" s="30" t="s">
        <v>224</v>
      </c>
    </row>
    <row r="29" spans="2:6" ht="13.5" customHeight="1" x14ac:dyDescent="0.3">
      <c r="B29" s="30">
        <v>3</v>
      </c>
      <c r="C29" s="29" t="s">
        <v>159</v>
      </c>
      <c r="D29" s="29" t="s">
        <v>203</v>
      </c>
      <c r="E29" s="30">
        <v>3</v>
      </c>
      <c r="F29" s="30" t="s">
        <v>225</v>
      </c>
    </row>
    <row r="30" spans="2:6" ht="13.5" customHeight="1" x14ac:dyDescent="0.3">
      <c r="B30" s="30">
        <v>4</v>
      </c>
      <c r="C30" s="29" t="s">
        <v>159</v>
      </c>
      <c r="D30" s="29" t="s">
        <v>203</v>
      </c>
      <c r="E30" s="30">
        <v>4</v>
      </c>
      <c r="F30" s="30" t="s">
        <v>226</v>
      </c>
    </row>
    <row r="31" spans="2:6" ht="13.5" customHeight="1" x14ac:dyDescent="0.3">
      <c r="B31" s="30">
        <v>5</v>
      </c>
      <c r="C31" s="29" t="s">
        <v>159</v>
      </c>
      <c r="D31" s="29" t="s">
        <v>203</v>
      </c>
      <c r="E31" s="30">
        <v>5</v>
      </c>
      <c r="F31" s="30" t="s">
        <v>227</v>
      </c>
    </row>
    <row r="34" spans="2:6" ht="15" customHeight="1" x14ac:dyDescent="0.3">
      <c r="B34" s="33" t="s">
        <v>197</v>
      </c>
      <c r="C34" s="33" t="s">
        <v>151</v>
      </c>
      <c r="D34" s="33" t="s">
        <v>215</v>
      </c>
      <c r="E34" s="33" t="s">
        <v>216</v>
      </c>
      <c r="F34" s="33" t="s">
        <v>217</v>
      </c>
    </row>
    <row r="35" spans="2:6" ht="13.5" customHeight="1" x14ac:dyDescent="0.3">
      <c r="B35" s="30">
        <v>1</v>
      </c>
      <c r="C35" s="29" t="s">
        <v>162</v>
      </c>
      <c r="D35" s="29" t="s">
        <v>204</v>
      </c>
      <c r="E35" s="30">
        <v>1</v>
      </c>
      <c r="F35" s="30" t="s">
        <v>228</v>
      </c>
    </row>
    <row r="36" spans="2:6" ht="13.5" customHeight="1" x14ac:dyDescent="0.3">
      <c r="B36" s="30">
        <v>2</v>
      </c>
      <c r="C36" s="29" t="s">
        <v>162</v>
      </c>
      <c r="D36" s="29" t="s">
        <v>204</v>
      </c>
      <c r="E36" s="30">
        <v>2</v>
      </c>
      <c r="F36" s="30" t="s">
        <v>229</v>
      </c>
    </row>
    <row r="37" spans="2:6" ht="13.5" customHeight="1" x14ac:dyDescent="0.3">
      <c r="B37" s="30">
        <v>3</v>
      </c>
      <c r="C37" s="29" t="s">
        <v>162</v>
      </c>
      <c r="D37" s="29" t="s">
        <v>204</v>
      </c>
      <c r="E37" s="30">
        <v>3</v>
      </c>
      <c r="F37" s="30" t="s">
        <v>230</v>
      </c>
    </row>
    <row r="38" spans="2:6" ht="13.5" customHeight="1" x14ac:dyDescent="0.3">
      <c r="B38" s="30">
        <v>4</v>
      </c>
      <c r="C38" s="29" t="s">
        <v>162</v>
      </c>
      <c r="D38" s="29" t="s">
        <v>204</v>
      </c>
      <c r="E38" s="30">
        <v>4</v>
      </c>
      <c r="F38" s="30" t="s">
        <v>231</v>
      </c>
    </row>
    <row r="39" spans="2:6" ht="13.5" customHeight="1" x14ac:dyDescent="0.3">
      <c r="B39" s="30">
        <v>5</v>
      </c>
      <c r="C39" s="29" t="s">
        <v>162</v>
      </c>
      <c r="D39" s="29" t="s">
        <v>204</v>
      </c>
      <c r="E39" s="30">
        <v>5</v>
      </c>
      <c r="F39" s="30" t="s">
        <v>232</v>
      </c>
    </row>
    <row r="42" spans="2:6" ht="15" customHeight="1" x14ac:dyDescent="0.3">
      <c r="B42" s="33" t="s">
        <v>197</v>
      </c>
      <c r="C42" s="33" t="s">
        <v>151</v>
      </c>
      <c r="D42" s="33" t="s">
        <v>215</v>
      </c>
      <c r="E42" s="33" t="s">
        <v>216</v>
      </c>
      <c r="F42" s="33" t="s">
        <v>217</v>
      </c>
    </row>
    <row r="43" spans="2:6" ht="13.5" customHeight="1" x14ac:dyDescent="0.3">
      <c r="B43" s="30">
        <v>1</v>
      </c>
      <c r="C43" s="29" t="s">
        <v>164</v>
      </c>
      <c r="D43" s="29" t="s">
        <v>205</v>
      </c>
      <c r="E43" s="30">
        <v>1</v>
      </c>
      <c r="F43" s="30" t="s">
        <v>233</v>
      </c>
    </row>
    <row r="44" spans="2:6" ht="13.5" customHeight="1" x14ac:dyDescent="0.3">
      <c r="B44" s="30">
        <v>2</v>
      </c>
      <c r="C44" s="29" t="s">
        <v>164</v>
      </c>
      <c r="D44" s="29" t="s">
        <v>205</v>
      </c>
      <c r="E44" s="30">
        <v>2</v>
      </c>
      <c r="F44" s="30" t="s">
        <v>234</v>
      </c>
    </row>
    <row r="45" spans="2:6" ht="13.5" customHeight="1" x14ac:dyDescent="0.3">
      <c r="B45" s="30">
        <v>3</v>
      </c>
      <c r="C45" s="29" t="s">
        <v>164</v>
      </c>
      <c r="D45" s="29" t="s">
        <v>205</v>
      </c>
      <c r="E45" s="30">
        <v>3</v>
      </c>
      <c r="F45" s="30" t="s">
        <v>235</v>
      </c>
    </row>
    <row r="46" spans="2:6" ht="13.5" customHeight="1" x14ac:dyDescent="0.3">
      <c r="B46" s="30">
        <v>4</v>
      </c>
      <c r="C46" s="29" t="s">
        <v>164</v>
      </c>
      <c r="D46" s="29" t="s">
        <v>205</v>
      </c>
      <c r="E46" s="30">
        <v>4</v>
      </c>
      <c r="F46" s="30" t="s">
        <v>236</v>
      </c>
    </row>
    <row r="47" spans="2:6" ht="13.5" customHeight="1" x14ac:dyDescent="0.3">
      <c r="B47" s="30">
        <v>5</v>
      </c>
      <c r="C47" s="29" t="s">
        <v>164</v>
      </c>
      <c r="D47" s="29" t="s">
        <v>205</v>
      </c>
      <c r="E47" s="30">
        <v>5</v>
      </c>
      <c r="F47" s="30" t="s">
        <v>237</v>
      </c>
    </row>
    <row r="50" spans="2:6" ht="15" customHeight="1" x14ac:dyDescent="0.3">
      <c r="B50" s="33" t="s">
        <v>197</v>
      </c>
      <c r="C50" s="33" t="s">
        <v>151</v>
      </c>
      <c r="D50" s="33" t="s">
        <v>215</v>
      </c>
      <c r="E50" s="33" t="s">
        <v>216</v>
      </c>
      <c r="F50" s="33" t="s">
        <v>217</v>
      </c>
    </row>
    <row r="51" spans="2:6" ht="13.5" customHeight="1" x14ac:dyDescent="0.3">
      <c r="B51" s="30">
        <v>1</v>
      </c>
      <c r="C51" s="29" t="s">
        <v>163</v>
      </c>
      <c r="D51" s="29" t="s">
        <v>238</v>
      </c>
      <c r="E51" s="30">
        <v>1</v>
      </c>
      <c r="F51" s="30" t="s">
        <v>239</v>
      </c>
    </row>
    <row r="52" spans="2:6" ht="13.5" customHeight="1" x14ac:dyDescent="0.3">
      <c r="B52" s="30">
        <v>2</v>
      </c>
      <c r="C52" s="29" t="s">
        <v>163</v>
      </c>
      <c r="D52" s="29" t="s">
        <v>238</v>
      </c>
      <c r="E52" s="30">
        <v>2</v>
      </c>
      <c r="F52" s="30" t="s">
        <v>240</v>
      </c>
    </row>
    <row r="53" spans="2:6" ht="13.5" customHeight="1" x14ac:dyDescent="0.3">
      <c r="B53" s="30">
        <v>3</v>
      </c>
      <c r="C53" s="29" t="s">
        <v>163</v>
      </c>
      <c r="D53" s="29" t="s">
        <v>238</v>
      </c>
      <c r="E53" s="30">
        <v>3</v>
      </c>
      <c r="F53" s="30" t="s">
        <v>241</v>
      </c>
    </row>
    <row r="54" spans="2:6" ht="13.5" customHeight="1" x14ac:dyDescent="0.3">
      <c r="B54" s="30">
        <v>4</v>
      </c>
      <c r="C54" s="29" t="s">
        <v>163</v>
      </c>
      <c r="D54" s="29" t="s">
        <v>238</v>
      </c>
      <c r="E54" s="30">
        <v>4</v>
      </c>
      <c r="F54" s="30" t="s">
        <v>242</v>
      </c>
    </row>
    <row r="55" spans="2:6" ht="13.5" customHeight="1" x14ac:dyDescent="0.3">
      <c r="B55" s="30">
        <v>5</v>
      </c>
      <c r="C55" s="29" t="s">
        <v>163</v>
      </c>
      <c r="D55" s="29" t="s">
        <v>238</v>
      </c>
      <c r="E55" s="30">
        <v>5</v>
      </c>
      <c r="F55" s="30" t="s">
        <v>243</v>
      </c>
    </row>
    <row r="56" spans="2:6" ht="13.5" customHeight="1" x14ac:dyDescent="0.3">
      <c r="B56" s="30">
        <v>6</v>
      </c>
      <c r="C56" s="29" t="s">
        <v>163</v>
      </c>
      <c r="D56" s="29" t="s">
        <v>244</v>
      </c>
      <c r="E56" s="30">
        <v>1</v>
      </c>
      <c r="F56" s="30" t="s">
        <v>245</v>
      </c>
    </row>
    <row r="57" spans="2:6" ht="13.5" customHeight="1" x14ac:dyDescent="0.3">
      <c r="B57" s="30">
        <v>7</v>
      </c>
      <c r="C57" s="29" t="s">
        <v>163</v>
      </c>
      <c r="D57" s="29" t="s">
        <v>244</v>
      </c>
      <c r="E57" s="30">
        <v>2</v>
      </c>
      <c r="F57" s="30" t="s">
        <v>246</v>
      </c>
    </row>
    <row r="58" spans="2:6" ht="13.5" customHeight="1" x14ac:dyDescent="0.3">
      <c r="B58" s="30">
        <v>8</v>
      </c>
      <c r="C58" s="29" t="s">
        <v>163</v>
      </c>
      <c r="D58" s="29" t="s">
        <v>244</v>
      </c>
      <c r="E58" s="30">
        <v>3</v>
      </c>
      <c r="F58" s="30" t="s">
        <v>247</v>
      </c>
    </row>
    <row r="59" spans="2:6" ht="13.5" customHeight="1" x14ac:dyDescent="0.3">
      <c r="B59" s="30">
        <v>9</v>
      </c>
      <c r="C59" s="29" t="s">
        <v>163</v>
      </c>
      <c r="D59" s="29" t="s">
        <v>244</v>
      </c>
      <c r="E59" s="30">
        <v>4</v>
      </c>
      <c r="F59" s="30" t="s">
        <v>248</v>
      </c>
    </row>
    <row r="60" spans="2:6" ht="13.5" customHeight="1" x14ac:dyDescent="0.3">
      <c r="B60" s="30">
        <v>10</v>
      </c>
      <c r="C60" s="29" t="s">
        <v>163</v>
      </c>
      <c r="D60" s="29" t="s">
        <v>244</v>
      </c>
      <c r="E60" s="30">
        <v>5</v>
      </c>
      <c r="F60" s="30" t="s">
        <v>249</v>
      </c>
    </row>
    <row r="63" spans="2:6" ht="15" customHeight="1" x14ac:dyDescent="0.3">
      <c r="B63" s="33" t="s">
        <v>197</v>
      </c>
      <c r="C63" s="33" t="s">
        <v>151</v>
      </c>
      <c r="D63" s="33" t="s">
        <v>215</v>
      </c>
      <c r="E63" s="33" t="s">
        <v>216</v>
      </c>
      <c r="F63" s="33" t="s">
        <v>217</v>
      </c>
    </row>
    <row r="64" spans="2:6" ht="13.5" customHeight="1" x14ac:dyDescent="0.3">
      <c r="B64" s="30">
        <v>1</v>
      </c>
      <c r="C64" s="29" t="s">
        <v>165</v>
      </c>
      <c r="D64" s="29" t="s">
        <v>207</v>
      </c>
      <c r="E64" s="30">
        <v>1</v>
      </c>
      <c r="F64" s="30" t="s">
        <v>250</v>
      </c>
    </row>
    <row r="65" spans="2:6" ht="13.5" customHeight="1" x14ac:dyDescent="0.3">
      <c r="B65" s="30">
        <v>2</v>
      </c>
      <c r="C65" s="29" t="s">
        <v>165</v>
      </c>
      <c r="D65" s="29" t="s">
        <v>207</v>
      </c>
      <c r="E65" s="30">
        <v>2</v>
      </c>
      <c r="F65" s="30" t="s">
        <v>251</v>
      </c>
    </row>
    <row r="66" spans="2:6" ht="13.5" customHeight="1" x14ac:dyDescent="0.3">
      <c r="B66" s="30">
        <v>3</v>
      </c>
      <c r="C66" s="29" t="s">
        <v>165</v>
      </c>
      <c r="D66" s="29" t="s">
        <v>207</v>
      </c>
      <c r="E66" s="30">
        <v>3</v>
      </c>
      <c r="F66" s="30" t="s">
        <v>252</v>
      </c>
    </row>
    <row r="67" spans="2:6" ht="13.5" customHeight="1" x14ac:dyDescent="0.3">
      <c r="B67" s="30">
        <v>4</v>
      </c>
      <c r="C67" s="29" t="s">
        <v>165</v>
      </c>
      <c r="D67" s="29" t="s">
        <v>207</v>
      </c>
      <c r="E67" s="30">
        <v>4</v>
      </c>
      <c r="F67" s="30" t="s">
        <v>253</v>
      </c>
    </row>
    <row r="68" spans="2:6" ht="13.5" customHeight="1" x14ac:dyDescent="0.3">
      <c r="B68" s="30">
        <v>5</v>
      </c>
      <c r="C68" s="29" t="s">
        <v>165</v>
      </c>
      <c r="D68" s="29" t="s">
        <v>207</v>
      </c>
      <c r="E68" s="30">
        <v>5</v>
      </c>
      <c r="F68" s="30" t="s">
        <v>254</v>
      </c>
    </row>
    <row r="71" spans="2:6" ht="15" customHeight="1" x14ac:dyDescent="0.3">
      <c r="B71" s="33" t="s">
        <v>197</v>
      </c>
      <c r="C71" s="33" t="s">
        <v>151</v>
      </c>
      <c r="D71" s="33" t="s">
        <v>215</v>
      </c>
      <c r="E71" s="33" t="s">
        <v>216</v>
      </c>
      <c r="F71" s="33" t="s">
        <v>217</v>
      </c>
    </row>
    <row r="72" spans="2:6" ht="13.5" customHeight="1" x14ac:dyDescent="0.3">
      <c r="B72" s="30">
        <v>1</v>
      </c>
      <c r="C72" s="29" t="s">
        <v>166</v>
      </c>
      <c r="D72" s="29" t="s">
        <v>208</v>
      </c>
      <c r="E72" s="30">
        <v>1</v>
      </c>
      <c r="F72" s="30" t="s">
        <v>255</v>
      </c>
    </row>
    <row r="73" spans="2:6" ht="13.5" customHeight="1" x14ac:dyDescent="0.3">
      <c r="B73" s="30">
        <v>2</v>
      </c>
      <c r="C73" s="29" t="s">
        <v>166</v>
      </c>
      <c r="D73" s="29" t="s">
        <v>208</v>
      </c>
      <c r="E73" s="30">
        <v>2</v>
      </c>
      <c r="F73" s="30" t="s">
        <v>256</v>
      </c>
    </row>
    <row r="74" spans="2:6" ht="13.5" customHeight="1" x14ac:dyDescent="0.3">
      <c r="B74" s="30">
        <v>3</v>
      </c>
      <c r="C74" s="29" t="s">
        <v>166</v>
      </c>
      <c r="D74" s="29" t="s">
        <v>208</v>
      </c>
      <c r="E74" s="30">
        <v>3</v>
      </c>
      <c r="F74" s="30" t="s">
        <v>257</v>
      </c>
    </row>
    <row r="75" spans="2:6" ht="13.5" customHeight="1" x14ac:dyDescent="0.3">
      <c r="B75" s="30">
        <v>4</v>
      </c>
      <c r="C75" s="29" t="s">
        <v>166</v>
      </c>
      <c r="D75" s="29" t="s">
        <v>208</v>
      </c>
      <c r="E75" s="30">
        <v>4</v>
      </c>
      <c r="F75" s="30" t="s">
        <v>258</v>
      </c>
    </row>
    <row r="76" spans="2:6" ht="13.5" customHeight="1" x14ac:dyDescent="0.3">
      <c r="B76" s="30">
        <v>5</v>
      </c>
      <c r="C76" s="29" t="s">
        <v>166</v>
      </c>
      <c r="D76" s="29" t="s">
        <v>208</v>
      </c>
      <c r="E76" s="30">
        <v>5</v>
      </c>
      <c r="F76" s="30" t="s">
        <v>259</v>
      </c>
    </row>
    <row r="79" spans="2:6" ht="15" customHeight="1" x14ac:dyDescent="0.3">
      <c r="B79" s="33" t="s">
        <v>197</v>
      </c>
      <c r="C79" s="33" t="s">
        <v>151</v>
      </c>
      <c r="D79" s="33" t="s">
        <v>215</v>
      </c>
      <c r="E79" s="33" t="s">
        <v>216</v>
      </c>
      <c r="F79" s="33" t="s">
        <v>217</v>
      </c>
    </row>
    <row r="80" spans="2:6" ht="13.5" customHeight="1" x14ac:dyDescent="0.3">
      <c r="B80" s="30">
        <v>1</v>
      </c>
      <c r="C80" s="29" t="s">
        <v>174</v>
      </c>
      <c r="D80" s="29" t="s">
        <v>209</v>
      </c>
      <c r="E80" s="30">
        <v>1</v>
      </c>
      <c r="F80" s="30" t="s">
        <v>260</v>
      </c>
    </row>
    <row r="81" spans="2:6" ht="13.5" customHeight="1" x14ac:dyDescent="0.3">
      <c r="B81" s="30">
        <v>2</v>
      </c>
      <c r="C81" s="29" t="s">
        <v>174</v>
      </c>
      <c r="D81" s="29" t="s">
        <v>209</v>
      </c>
      <c r="E81" s="30">
        <v>2</v>
      </c>
      <c r="F81" s="30" t="s">
        <v>261</v>
      </c>
    </row>
    <row r="82" spans="2:6" ht="13.5" customHeight="1" x14ac:dyDescent="0.3">
      <c r="B82" s="30">
        <v>3</v>
      </c>
      <c r="C82" s="29" t="s">
        <v>174</v>
      </c>
      <c r="D82" s="29" t="s">
        <v>209</v>
      </c>
      <c r="E82" s="30">
        <v>3</v>
      </c>
      <c r="F82" s="30" t="s">
        <v>262</v>
      </c>
    </row>
    <row r="83" spans="2:6" ht="13.5" customHeight="1" x14ac:dyDescent="0.3">
      <c r="B83" s="30">
        <v>4</v>
      </c>
      <c r="C83" s="29" t="s">
        <v>174</v>
      </c>
      <c r="D83" s="29" t="s">
        <v>209</v>
      </c>
      <c r="E83" s="30">
        <v>4</v>
      </c>
      <c r="F83" s="30" t="s">
        <v>263</v>
      </c>
    </row>
    <row r="84" spans="2:6" ht="13.5" customHeight="1" x14ac:dyDescent="0.3">
      <c r="B84" s="30">
        <v>5</v>
      </c>
      <c r="C84" s="29" t="s">
        <v>174</v>
      </c>
      <c r="D84" s="29" t="s">
        <v>209</v>
      </c>
      <c r="E84" s="30">
        <v>5</v>
      </c>
      <c r="F84" s="30" t="s">
        <v>264</v>
      </c>
    </row>
    <row r="87" spans="2:6" ht="15" customHeight="1" x14ac:dyDescent="0.3">
      <c r="B87" s="33" t="s">
        <v>197</v>
      </c>
      <c r="C87" s="33" t="s">
        <v>151</v>
      </c>
      <c r="D87" s="33" t="s">
        <v>215</v>
      </c>
      <c r="E87" s="33" t="s">
        <v>216</v>
      </c>
      <c r="F87" s="33" t="s">
        <v>217</v>
      </c>
    </row>
    <row r="88" spans="2:6" ht="13.5" customHeight="1" x14ac:dyDescent="0.3">
      <c r="B88" s="30">
        <v>1</v>
      </c>
      <c r="C88" s="29" t="s">
        <v>177</v>
      </c>
      <c r="D88" s="29" t="s">
        <v>210</v>
      </c>
      <c r="E88" s="30">
        <v>1</v>
      </c>
      <c r="F88" s="30" t="s">
        <v>265</v>
      </c>
    </row>
    <row r="89" spans="2:6" ht="13.5" customHeight="1" x14ac:dyDescent="0.3">
      <c r="B89" s="30">
        <v>2</v>
      </c>
      <c r="C89" s="29" t="s">
        <v>177</v>
      </c>
      <c r="D89" s="29" t="s">
        <v>210</v>
      </c>
      <c r="E89" s="30">
        <v>2</v>
      </c>
      <c r="F89" s="30" t="s">
        <v>266</v>
      </c>
    </row>
    <row r="90" spans="2:6" ht="13.5" customHeight="1" x14ac:dyDescent="0.3">
      <c r="B90" s="30">
        <v>3</v>
      </c>
      <c r="C90" s="29" t="s">
        <v>177</v>
      </c>
      <c r="D90" s="29" t="s">
        <v>210</v>
      </c>
      <c r="E90" s="30">
        <v>3</v>
      </c>
      <c r="F90" s="30" t="s">
        <v>267</v>
      </c>
    </row>
    <row r="91" spans="2:6" ht="13.5" customHeight="1" x14ac:dyDescent="0.3">
      <c r="B91" s="30">
        <v>4</v>
      </c>
      <c r="C91" s="29" t="s">
        <v>177</v>
      </c>
      <c r="D91" s="29" t="s">
        <v>210</v>
      </c>
      <c r="E91" s="30">
        <v>4</v>
      </c>
      <c r="F91" s="30" t="s">
        <v>268</v>
      </c>
    </row>
    <row r="92" spans="2:6" ht="13.5" customHeight="1" x14ac:dyDescent="0.3">
      <c r="B92" s="30">
        <v>5</v>
      </c>
      <c r="C92" s="29" t="s">
        <v>177</v>
      </c>
      <c r="D92" s="29" t="s">
        <v>210</v>
      </c>
      <c r="E92" s="30">
        <v>5</v>
      </c>
      <c r="F92" s="30" t="s">
        <v>269</v>
      </c>
    </row>
    <row r="95" spans="2:6" ht="15" customHeight="1" x14ac:dyDescent="0.3">
      <c r="B95" s="33" t="s">
        <v>197</v>
      </c>
      <c r="C95" s="33" t="s">
        <v>151</v>
      </c>
      <c r="D95" s="33" t="s">
        <v>215</v>
      </c>
      <c r="E95" s="33" t="s">
        <v>216</v>
      </c>
      <c r="F95" s="33" t="s">
        <v>217</v>
      </c>
    </row>
    <row r="96" spans="2:6" ht="13.5" customHeight="1" x14ac:dyDescent="0.3">
      <c r="B96" s="30">
        <v>1</v>
      </c>
      <c r="C96" s="29" t="s">
        <v>178</v>
      </c>
      <c r="D96" s="29" t="s">
        <v>211</v>
      </c>
      <c r="E96" s="30">
        <v>1</v>
      </c>
      <c r="F96" s="30" t="s">
        <v>270</v>
      </c>
    </row>
    <row r="97" spans="2:6" ht="13.5" customHeight="1" x14ac:dyDescent="0.3">
      <c r="B97" s="30">
        <v>2</v>
      </c>
      <c r="C97" s="29" t="s">
        <v>178</v>
      </c>
      <c r="D97" s="29" t="s">
        <v>211</v>
      </c>
      <c r="E97" s="30">
        <v>2</v>
      </c>
      <c r="F97" s="30" t="s">
        <v>271</v>
      </c>
    </row>
    <row r="98" spans="2:6" ht="13.5" customHeight="1" x14ac:dyDescent="0.3">
      <c r="B98" s="30">
        <v>3</v>
      </c>
      <c r="C98" s="29" t="s">
        <v>178</v>
      </c>
      <c r="D98" s="29" t="s">
        <v>211</v>
      </c>
      <c r="E98" s="30">
        <v>3</v>
      </c>
      <c r="F98" s="30" t="s">
        <v>272</v>
      </c>
    </row>
    <row r="99" spans="2:6" ht="13.5" customHeight="1" x14ac:dyDescent="0.3">
      <c r="B99" s="30">
        <v>4</v>
      </c>
      <c r="C99" s="29" t="s">
        <v>178</v>
      </c>
      <c r="D99" s="29" t="s">
        <v>211</v>
      </c>
      <c r="E99" s="30">
        <v>4</v>
      </c>
      <c r="F99" s="30" t="s">
        <v>273</v>
      </c>
    </row>
    <row r="100" spans="2:6" ht="13.5" customHeight="1" x14ac:dyDescent="0.3">
      <c r="B100" s="30">
        <v>5</v>
      </c>
      <c r="C100" s="29" t="s">
        <v>178</v>
      </c>
      <c r="D100" s="29" t="s">
        <v>211</v>
      </c>
      <c r="E100" s="30">
        <v>5</v>
      </c>
      <c r="F100" s="30" t="s">
        <v>274</v>
      </c>
    </row>
    <row r="103" spans="2:6" ht="15" customHeight="1" x14ac:dyDescent="0.3">
      <c r="B103" s="33" t="s">
        <v>197</v>
      </c>
      <c r="C103" s="33" t="s">
        <v>151</v>
      </c>
      <c r="D103" s="33" t="s">
        <v>215</v>
      </c>
      <c r="E103" s="33" t="s">
        <v>216</v>
      </c>
      <c r="F103" s="33" t="s">
        <v>217</v>
      </c>
    </row>
    <row r="104" spans="2:6" ht="13.5" customHeight="1" x14ac:dyDescent="0.3">
      <c r="B104" s="30">
        <v>1</v>
      </c>
      <c r="C104" s="29" t="s">
        <v>182</v>
      </c>
      <c r="D104" s="29" t="s">
        <v>212</v>
      </c>
      <c r="E104" s="30">
        <v>1</v>
      </c>
      <c r="F104" s="30" t="s">
        <v>275</v>
      </c>
    </row>
    <row r="105" spans="2:6" ht="13.5" customHeight="1" x14ac:dyDescent="0.3">
      <c r="B105" s="30">
        <v>2</v>
      </c>
      <c r="C105" s="29" t="s">
        <v>182</v>
      </c>
      <c r="D105" s="29" t="s">
        <v>212</v>
      </c>
      <c r="E105" s="30">
        <v>2</v>
      </c>
      <c r="F105" s="30" t="s">
        <v>276</v>
      </c>
    </row>
    <row r="106" spans="2:6" ht="13.5" customHeight="1" x14ac:dyDescent="0.3">
      <c r="B106" s="30">
        <v>3</v>
      </c>
      <c r="C106" s="29" t="s">
        <v>182</v>
      </c>
      <c r="D106" s="29" t="s">
        <v>212</v>
      </c>
      <c r="E106" s="30">
        <v>3</v>
      </c>
      <c r="F106" s="30" t="s">
        <v>277</v>
      </c>
    </row>
    <row r="107" spans="2:6" ht="13.5" customHeight="1" x14ac:dyDescent="0.3">
      <c r="B107" s="30">
        <v>4</v>
      </c>
      <c r="C107" s="29" t="s">
        <v>182</v>
      </c>
      <c r="D107" s="29" t="s">
        <v>212</v>
      </c>
      <c r="E107" s="30">
        <v>4</v>
      </c>
      <c r="F107" s="30" t="s">
        <v>278</v>
      </c>
    </row>
    <row r="108" spans="2:6" ht="13.5" customHeight="1" x14ac:dyDescent="0.3">
      <c r="B108" s="30">
        <v>5</v>
      </c>
      <c r="C108" s="29" t="s">
        <v>182</v>
      </c>
      <c r="D108" s="29" t="s">
        <v>212</v>
      </c>
      <c r="E108" s="30">
        <v>5</v>
      </c>
      <c r="F108" s="30" t="s">
        <v>279</v>
      </c>
    </row>
    <row r="111" spans="2:6" ht="15" customHeight="1" x14ac:dyDescent="0.3">
      <c r="B111" s="33" t="s">
        <v>197</v>
      </c>
      <c r="C111" s="33" t="s">
        <v>151</v>
      </c>
      <c r="D111" s="33" t="s">
        <v>215</v>
      </c>
      <c r="E111" s="33" t="s">
        <v>216</v>
      </c>
      <c r="F111" s="33" t="s">
        <v>217</v>
      </c>
    </row>
    <row r="112" spans="2:6" ht="13.5" customHeight="1" x14ac:dyDescent="0.3">
      <c r="B112" s="30">
        <v>1</v>
      </c>
      <c r="C112" s="29" t="s">
        <v>185</v>
      </c>
      <c r="D112" s="29" t="s">
        <v>213</v>
      </c>
      <c r="E112" s="30">
        <v>1</v>
      </c>
      <c r="F112" s="30" t="s">
        <v>280</v>
      </c>
    </row>
    <row r="113" spans="2:6" ht="13.5" customHeight="1" x14ac:dyDescent="0.3">
      <c r="B113" s="30">
        <v>2</v>
      </c>
      <c r="C113" s="29" t="s">
        <v>185</v>
      </c>
      <c r="D113" s="29" t="s">
        <v>213</v>
      </c>
      <c r="E113" s="30">
        <v>2</v>
      </c>
      <c r="F113" s="30" t="s">
        <v>281</v>
      </c>
    </row>
    <row r="114" spans="2:6" ht="13.5" customHeight="1" x14ac:dyDescent="0.3">
      <c r="B114" s="30">
        <v>3</v>
      </c>
      <c r="C114" s="29" t="s">
        <v>185</v>
      </c>
      <c r="D114" s="29" t="s">
        <v>213</v>
      </c>
      <c r="E114" s="30">
        <v>3</v>
      </c>
      <c r="F114" s="30" t="s">
        <v>282</v>
      </c>
    </row>
    <row r="115" spans="2:6" ht="13.5" customHeight="1" x14ac:dyDescent="0.3">
      <c r="B115" s="30">
        <v>4</v>
      </c>
      <c r="C115" s="29" t="s">
        <v>185</v>
      </c>
      <c r="D115" s="29" t="s">
        <v>213</v>
      </c>
      <c r="E115" s="30">
        <v>4</v>
      </c>
      <c r="F115" s="30" t="s">
        <v>283</v>
      </c>
    </row>
    <row r="116" spans="2:6" ht="13.5" customHeight="1" x14ac:dyDescent="0.3">
      <c r="B116" s="30">
        <v>5</v>
      </c>
      <c r="C116" s="29" t="s">
        <v>185</v>
      </c>
      <c r="D116" s="29" t="s">
        <v>213</v>
      </c>
      <c r="E116" s="30">
        <v>5</v>
      </c>
      <c r="F116" s="30" t="s">
        <v>284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7BC6C4-DB3E-4A44-97AF-B93A42AAC1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Baringo Summary</vt:lpstr>
      <vt:lpstr>Bomet Summary</vt:lpstr>
      <vt:lpstr>Bungoma Summary</vt:lpstr>
      <vt:lpstr>Busia Summary</vt:lpstr>
      <vt:lpstr>Elgeyo Marakwet Summary</vt:lpstr>
      <vt:lpstr>Embu Summary</vt:lpstr>
      <vt:lpstr>Garissa Summary</vt:lpstr>
      <vt:lpstr>Homabay Summary</vt:lpstr>
      <vt:lpstr>Isiolo Summary</vt:lpstr>
      <vt:lpstr>Kajiado Summary</vt:lpstr>
      <vt:lpstr>Kakamega Summary</vt:lpstr>
      <vt:lpstr>Kericho Summary</vt:lpstr>
      <vt:lpstr>Kiambu Summary</vt:lpstr>
      <vt:lpstr>Kilifi Summary</vt:lpstr>
      <vt:lpstr>Kirinyaga Summary</vt:lpstr>
      <vt:lpstr>Kisii Summary</vt:lpstr>
      <vt:lpstr>Kisumu Summary</vt:lpstr>
      <vt:lpstr>Kitui Summary</vt:lpstr>
      <vt:lpstr>Kwale Summary</vt:lpstr>
      <vt:lpstr>Laikipia Summary</vt:lpstr>
      <vt:lpstr>Lamu Summary</vt:lpstr>
      <vt:lpstr>Machakos Summary</vt:lpstr>
      <vt:lpstr>Makueni Summary</vt:lpstr>
      <vt:lpstr>Mandera Summary</vt:lpstr>
      <vt:lpstr>Marsabit Summary</vt:lpstr>
      <vt:lpstr>Meru Summary</vt:lpstr>
      <vt:lpstr>Migori Summary</vt:lpstr>
      <vt:lpstr>Mombasa Summary</vt:lpstr>
      <vt:lpstr>Murang'a Summary</vt:lpstr>
      <vt:lpstr>Nairobi Summary</vt:lpstr>
      <vt:lpstr>Nakuru Summary</vt:lpstr>
      <vt:lpstr>Nandi Summary</vt:lpstr>
      <vt:lpstr>Narok Summary</vt:lpstr>
      <vt:lpstr>Nyamira Summary</vt:lpstr>
      <vt:lpstr>Nyandarua Summary</vt:lpstr>
      <vt:lpstr>Nyeri Summary</vt:lpstr>
      <vt:lpstr>Samburu Summary</vt:lpstr>
      <vt:lpstr>Siaya Summary</vt:lpstr>
      <vt:lpstr>Taita Taveta Summary</vt:lpstr>
      <vt:lpstr>Tana River Summary</vt:lpstr>
      <vt:lpstr>Tharaka-Nithi Summary</vt:lpstr>
      <vt:lpstr>Trans-Nzoia Summary</vt:lpstr>
      <vt:lpstr>Turkana Summary</vt:lpstr>
      <vt:lpstr>Uasin Gishu Summary</vt:lpstr>
      <vt:lpstr>Vihiga Summary</vt:lpstr>
      <vt:lpstr>Wajir Summary</vt:lpstr>
      <vt:lpstr>West Pokot Summary</vt:lpstr>
      <vt:lpstr>Sheet7</vt:lpstr>
      <vt:lpstr>Homa Bay Summary</vt:lpstr>
      <vt:lpstr>Sheet5</vt:lpstr>
      <vt:lpstr>FBO</vt:lpstr>
      <vt:lpstr>Sheet6</vt:lpstr>
      <vt:lpstr>Claude Log</vt:lpstr>
      <vt:lpstr>NBU Ward Maternity Tracker</vt:lpstr>
      <vt:lpstr>oxygen assessement data</vt:lpstr>
      <vt:lpstr>Vendor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Mokaya</dc:creator>
  <dc:description/>
  <cp:lastModifiedBy>ALPHY</cp:lastModifiedBy>
  <cp:revision>0</cp:revision>
  <dcterms:created xsi:type="dcterms:W3CDTF">2026-03-11T10:22:57Z</dcterms:created>
  <dcterms:modified xsi:type="dcterms:W3CDTF">2026-09-17T09:34:23Z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0x0101003A275A1ABD765A439AFCC0EEC4E382B8</vt:lpwstr>
  </property>
</Properties>
</file>